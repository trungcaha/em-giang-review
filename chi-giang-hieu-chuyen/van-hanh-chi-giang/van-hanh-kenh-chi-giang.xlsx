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KENH" sheetId="3" state="visible" r:id="rId3"/>
    <sheet xmlns:r="http://schemas.openxmlformats.org/officeDocument/2006/relationships" name="LO_TRINH" sheetId="4" state="visible" r:id="rId4"/>
    <sheet xmlns:r="http://schemas.openxmlformats.org/officeDocument/2006/relationships" name="NHAN_SU" sheetId="5" state="visible" r:id="rId5"/>
    <sheet xmlns:r="http://schemas.openxmlformats.org/officeDocument/2006/relationships" name="QUY_TRINH" sheetId="6" state="visible" r:id="rId6"/>
    <sheet xmlns:r="http://schemas.openxmlformats.org/officeDocument/2006/relationships" name="LICH_DANG" sheetId="7" state="visible" r:id="rId7"/>
    <sheet xmlns:r="http://schemas.openxmlformats.org/officeDocument/2006/relationships" name="SAN_PHAM" sheetId="8" state="visible" r:id="rId8"/>
    <sheet xmlns:r="http://schemas.openxmlformats.org/officeDocument/2006/relationships" name="KHO_KICH_BAN" sheetId="9" state="visible" r:id="rId9"/>
    <sheet xmlns:r="http://schemas.openxmlformats.org/officeDocument/2006/relationships" name="NGUON_CONTENT" sheetId="10" state="visible" r:id="rId10"/>
    <sheet xmlns:r="http://schemas.openxmlformats.org/officeDocument/2006/relationships" name="THEO_DOI_NGAY" sheetId="11" state="visible" r:id="rId11"/>
    <sheet xmlns:r="http://schemas.openxmlformats.org/officeDocument/2006/relationships" name="CONG_VIEC" sheetId="12" state="visible" r:id="rId12"/>
    <sheet xmlns:r="http://schemas.openxmlformats.org/officeDocument/2006/relationships" name="DU_BAO" sheetId="13" state="visible" r:id="rId13"/>
    <sheet xmlns:r="http://schemas.openxmlformats.org/officeDocument/2006/relationships" name="KPI_QUY_TAC" sheetId="14" state="visible" r:id="rId14"/>
    <sheet xmlns:r="http://schemas.openxmlformats.org/officeDocument/2006/relationships" name="RUI_RO" sheetId="15" state="visible" r:id="rId15"/>
    <sheet xmlns:r="http://schemas.openxmlformats.org/officeDocument/2006/relationships" name="TAI_NGUYEN" sheetId="16" state="visible" r:id="rId16"/>
  </sheets>
  <definedNames>
    <definedName name="_xlnm._FilterDatabase" localSheetId="7" hidden="1">'SAN_PHAM'!$A$4:$S$26</definedName>
    <definedName name="_xlnm._FilterDatabase" localSheetId="8" hidden="1">'KHO_KICH_BAN'!$A$4:$T$404</definedName>
    <definedName name="_xlnm._FilterDatabase" localSheetId="9" hidden="1">'NGUON_CONTENT'!$A$4:$M$304</definedName>
    <definedName name="_xlnm._FilterDatabase" localSheetId="10" hidden="1">'THEO_DOI_NGAY'!$A$4:$L$88</definedName>
    <definedName name="_xlnm._FilterDatabase" localSheetId="11" hidden="1">'CONG_VIEC'!$A$4:$H$60</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Red]-#,##0"/>
  </numFmts>
  <fonts count="10">
    <font>
      <name val="Calibri"/>
      <family val="2"/>
      <color theme="1"/>
      <sz val="11"/>
      <scheme val="minor"/>
    </font>
    <font>
      <name val="Arial"/>
      <b val="1"/>
      <color rgb="000F4C5C"/>
      <sz val="16"/>
    </font>
    <font>
      <name val="Arial"/>
      <i val="1"/>
      <color rgb="00555555"/>
      <sz val="10"/>
    </font>
    <font>
      <name val="Arial"/>
      <b val="1"/>
      <color rgb="000F4C5C"/>
      <sz val="12"/>
    </font>
    <font>
      <name val="Arial"/>
      <b val="1"/>
      <sz val="10"/>
    </font>
    <font>
      <name val="Arial"/>
      <sz val="10"/>
    </font>
    <font>
      <name val="Arial"/>
      <color rgb="000000FF"/>
      <sz val="10"/>
    </font>
    <font>
      <name val="Arial"/>
      <color rgb="00008000"/>
      <sz val="10"/>
    </font>
    <font>
      <name val="Arial"/>
      <b val="1"/>
      <color rgb="00FFFFFF"/>
      <sz val="10"/>
    </font>
    <font>
      <name val="Arial"/>
      <color rgb="000563C1"/>
      <sz val="10"/>
      <u val="single"/>
    </font>
  </fonts>
  <fills count="14">
    <fill>
      <patternFill/>
    </fill>
    <fill>
      <patternFill patternType="gray125"/>
    </fill>
    <fill>
      <patternFill patternType="solid">
        <fgColor rgb="00FDE2E1"/>
      </patternFill>
    </fill>
    <fill>
      <patternFill patternType="solid">
        <fgColor rgb="00FFF8D6"/>
      </patternFill>
    </fill>
    <fill>
      <patternFill patternType="solid">
        <fgColor rgb="000F4C5C"/>
      </patternFill>
    </fill>
    <fill>
      <patternFill patternType="solid">
        <fgColor rgb="00E6F0F2"/>
      </patternFill>
    </fill>
    <fill>
      <patternFill patternType="solid">
        <fgColor rgb="00FFCC80"/>
      </patternFill>
    </fill>
    <fill>
      <patternFill patternType="solid">
        <fgColor rgb="00E1F5FE"/>
      </patternFill>
    </fill>
    <fill>
      <patternFill patternType="solid">
        <fgColor rgb="00BBDEFB"/>
      </patternFill>
    </fill>
    <fill>
      <patternFill patternType="solid">
        <fgColor rgb="00F5F5F5"/>
      </patternFill>
    </fill>
    <fill>
      <patternFill patternType="solid">
        <fgColor rgb="00FFF59D"/>
      </patternFill>
    </fill>
    <fill>
      <patternFill patternType="solid">
        <fgColor rgb="00C8E6C9"/>
      </patternFill>
    </fill>
    <fill>
      <patternFill patternType="solid">
        <fgColor rgb="00EEEEEE"/>
      </patternFill>
    </fill>
    <fill>
      <patternFill patternType="solid">
        <fgColor rgb="00E8F5E9"/>
      </patternFill>
    </fill>
  </fills>
  <borders count="6">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5" fillId="2" borderId="1" applyAlignment="1" pivotButton="0" quotePrefix="0" xfId="0">
      <alignment vertical="top" wrapText="1"/>
    </xf>
    <xf numFmtId="3" fontId="7" fillId="0" borderId="1" applyAlignment="1" pivotButton="0" quotePrefix="0" xfId="0">
      <alignment horizontal="center" vertical="center" wrapText="1"/>
    </xf>
    <xf numFmtId="9"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0" borderId="1" applyAlignment="1" pivotButton="0" quotePrefix="0" xfId="0">
      <alignment horizontal="center" vertical="center" wrapText="1"/>
    </xf>
    <xf numFmtId="10" fontId="5" fillId="0" borderId="1" applyAlignment="1" pivotButton="0" quotePrefix="0" xfId="0">
      <alignment horizontal="center" vertical="center" wrapText="1"/>
    </xf>
    <xf numFmtId="2" fontId="5" fillId="0" borderId="1" applyAlignment="1" pivotButton="0" quotePrefix="0" xfId="0">
      <alignment horizontal="center" vertical="center" wrapText="1"/>
    </xf>
    <xf numFmtId="0" fontId="4" fillId="5" borderId="1" applyAlignment="1" pivotButton="0" quotePrefix="0" xfId="0">
      <alignment vertical="top" wrapText="1"/>
    </xf>
    <xf numFmtId="3" fontId="4" fillId="5" borderId="1" applyAlignment="1" pivotButton="0" quotePrefix="0" xfId="0">
      <alignment horizontal="center" vertical="center" wrapText="1"/>
    </xf>
    <xf numFmtId="10" fontId="4" fillId="5" borderId="1" applyAlignment="1" pivotButton="0" quotePrefix="0" xfId="0">
      <alignment horizontal="center" vertical="center" wrapText="1"/>
    </xf>
    <xf numFmtId="2" fontId="4"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top" wrapText="1"/>
    </xf>
    <xf numFmtId="1" fontId="7" fillId="0" borderId="1" applyAlignment="1" pivotButton="0" quotePrefix="0" xfId="0">
      <alignment horizontal="center" vertical="center" wrapText="1"/>
    </xf>
    <xf numFmtId="1" fontId="6" fillId="3" borderId="1" applyAlignment="1" pivotButton="0" quotePrefix="0" xfId="0">
      <alignment horizontal="center" vertical="center" wrapText="1"/>
    </xf>
    <xf numFmtId="1" fontId="5" fillId="0" borderId="1" applyAlignment="1" pivotButton="0" quotePrefix="0" xfId="0">
      <alignment horizontal="center" vertical="center" wrapText="1"/>
    </xf>
    <xf numFmtId="1"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166" fontId="5"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9" fillId="0" borderId="1" applyAlignment="1" pivotButton="0" quotePrefix="0" xfId="0">
      <alignment vertical="top"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165" fontId="6" fillId="3" borderId="1" applyAlignment="1" pivotButton="0" quotePrefix="0" xfId="0">
      <alignment horizontal="center" vertical="center" wrapText="1"/>
    </xf>
    <xf numFmtId="3" fontId="6" fillId="3" borderId="1" applyAlignment="1" pivotButton="0" quotePrefix="0" xfId="0">
      <alignment horizontal="center" vertical="center" wrapText="1"/>
    </xf>
    <xf numFmtId="10" fontId="6" fillId="3" borderId="1" applyAlignment="1" pivotButton="0" quotePrefix="0" xfId="0">
      <alignment horizontal="center" vertical="center" wrapText="1"/>
    </xf>
    <xf numFmtId="166" fontId="6" fillId="3" borderId="1" applyAlignment="1" pivotButton="0" quotePrefix="0" xfId="0">
      <alignment horizontal="center" vertical="center" wrapText="1"/>
    </xf>
    <xf numFmtId="9" fontId="4" fillId="5" borderId="1" applyAlignment="1" pivotButton="0" quotePrefix="0" xfId="0">
      <alignment horizontal="center" vertical="center" wrapText="1"/>
    </xf>
    <xf numFmtId="167"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13" borderId="1" applyAlignment="1" pivotButton="0" quotePrefix="0" xfId="0">
      <alignment horizontal="center" vertical="center" wrapText="1"/>
    </xf>
  </cellXfs>
  <cellStyles count="1">
    <cellStyle name="Normal" xfId="0" builtinId="0" hidden="0"/>
  </cellStyles>
  <dxfs count="11">
    <dxf>
      <fill>
        <patternFill patternType="solid">
          <fgColor rgb="00FDE2E1"/>
        </patternFill>
      </fill>
    </dxf>
    <dxf>
      <fill>
        <patternFill patternType="solid">
          <fgColor rgb="00EEEEEE"/>
        </patternFill>
      </fill>
    </dxf>
    <dxf>
      <fill>
        <patternFill patternType="solid">
          <fgColor rgb="00C8E6C9"/>
        </patternFill>
      </fill>
    </dxf>
    <dxf>
      <fill>
        <patternFill patternType="solid">
          <fgColor rgb="00FFF59D"/>
        </patternFill>
      </fill>
    </dxf>
    <dxf>
      <fill>
        <patternFill patternType="solid">
          <fgColor rgb="00FFCDD2"/>
        </patternFill>
      </fill>
    </dxf>
    <dxf>
      <fill>
        <patternFill patternType="solid">
          <fgColor rgb="00BBDEFB"/>
        </patternFill>
      </fill>
    </dxf>
    <dxf>
      <fill>
        <patternFill patternType="solid">
          <fgColor rgb="00D1C4E9"/>
        </patternFill>
      </fill>
    </dxf>
    <dxf>
      <fill>
        <patternFill patternType="solid">
          <fgColor rgb="00FFE0B2"/>
        </patternFill>
      </fill>
    </dxf>
    <dxf>
      <fill>
        <patternFill patternType="solid">
          <fgColor rgb="00B2DFDB"/>
        </patternFill>
      </fill>
    </dxf>
    <dxf>
      <fill>
        <patternFill patternType="solid">
          <fgColor rgb="00E0E0E0"/>
        </patternFill>
      </fill>
    </dxf>
    <dxf>
      <fill>
        <patternFill patternType="solid">
          <fgColor rgb="00E3F2F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Điều phối</author>
  </authors>
  <commentList>
    <comment ref="B5" authorId="0" shapeId="0">
      <text>
        <t>Giả định: prompt sinh từ khuôn có sẵn (_tao-prompt-*.py), ~20 phút/prompt kể cả sửa.</t>
      </text>
    </comment>
    <comment ref="B6" authorId="0" shapeId="0">
      <text>
        <t>Giả định: Viral Studio chạy hàng đợi, người sản xuất chỉ soát shot và làm lại shot lỗi. Chỉnh theo tuần 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hyperlink" Target="https://s.shopee.vn/4fx1tDnhTe" TargetMode="External" Id="rId1"/><Relationship Type="http://schemas.openxmlformats.org/officeDocument/2006/relationships/hyperlink" Target="https://s.shopee.vn/4fx1tDnhTe?sub_id=ChiGiang-Chung-FBReels-SP01" TargetMode="External" Id="rId2"/><Relationship Type="http://schemas.openxmlformats.org/officeDocument/2006/relationships/hyperlink" Target="file:///D:/video-ai-aff/shopee-aff-crawler/storage/images/4fx1tDnhTe" TargetMode="External" Id="rId3"/><Relationship Type="http://schemas.openxmlformats.org/officeDocument/2006/relationships/hyperlink" Target="https://s.shopee.vn/5AtIVGl1EU" TargetMode="External" Id="rId4"/><Relationship Type="http://schemas.openxmlformats.org/officeDocument/2006/relationships/hyperlink" Target="https://s.shopee.vn/5AtIVGl1EU?sub_id=ChiGiang-Chung-FBReels-SP02" TargetMode="External" Id="rId5"/><Relationship Type="http://schemas.openxmlformats.org/officeDocument/2006/relationships/hyperlink" Target="file:///D:/video-ai-aff/shopee-aff-crawler/storage/images/5AtIVGl1EU" TargetMode="External" Id="rId6"/><Relationship Type="http://schemas.openxmlformats.org/officeDocument/2006/relationships/hyperlink" Target="https://s.shopee.vn/gQt7yIJF2" TargetMode="External" Id="rId7"/><Relationship Type="http://schemas.openxmlformats.org/officeDocument/2006/relationships/hyperlink" Target="https://s.shopee.vn/gQt7yIJF2?sub_id=ChiGiang-Chung-FBReels-SP03" TargetMode="External" Id="rId8"/><Relationship Type="http://schemas.openxmlformats.org/officeDocument/2006/relationships/hyperlink" Target="file:///D:/video-ai-aff/shopee-aff-crawler/storage/images/gQt7yIJF2" TargetMode="External" Id="rId9"/><Relationship Type="http://schemas.openxmlformats.org/officeDocument/2006/relationships/hyperlink" Target="https://s.shopee.vn/Lo2jOzo00" TargetMode="External" Id="rId10"/><Relationship Type="http://schemas.openxmlformats.org/officeDocument/2006/relationships/hyperlink" Target="https://s.shopee.vn/Lo2jOzo00?sub_id=ChiGiang-Chung-FBReels-SP04" TargetMode="External" Id="rId11"/><Relationship Type="http://schemas.openxmlformats.org/officeDocument/2006/relationships/hyperlink" Target="file:///D:/video-ai-aff/shopee-aff-crawler/storage/images/Lo2jOzo00" TargetMode="External" Id="rId12"/><Relationship Type="http://schemas.openxmlformats.org/officeDocument/2006/relationships/hyperlink" Target="https://s.shopee.vn/6AlpgAUH53" TargetMode="External" Id="rId13"/><Relationship Type="http://schemas.openxmlformats.org/officeDocument/2006/relationships/hyperlink" Target="https://s.shopee.vn/6AlpgAUH53?sub_id=ChiGiang-Chung-FBReels-SP05" TargetMode="External" Id="rId14"/><Relationship Type="http://schemas.openxmlformats.org/officeDocument/2006/relationships/hyperlink" Target="file:///D:/video-ai-aff/shopee-aff-crawler/storage/images/6AlpgAUH53" TargetMode="External" Id="rId15"/><Relationship Type="http://schemas.openxmlformats.org/officeDocument/2006/relationships/hyperlink" Target="https://s.shopee.vn/6fi6I4Q0Hu" TargetMode="External" Id="rId16"/><Relationship Type="http://schemas.openxmlformats.org/officeDocument/2006/relationships/hyperlink" Target="https://s.shopee.vn/6fi6I4Q0Hu?sub_id=ChiGiang-Chung-FBReels-SP06" TargetMode="External" Id="rId17"/><Relationship Type="http://schemas.openxmlformats.org/officeDocument/2006/relationships/hyperlink" Target="file:///D:/video-ai-aff/shopee-aff-crawler/storage/images/6fi6I4Q0Hu" TargetMode="External" Id="rId18"/><Relationship Type="http://schemas.openxmlformats.org/officeDocument/2006/relationships/hyperlink" Target="https://s.shopee.vn/7VHDHhq6DU" TargetMode="External" Id="rId19"/><Relationship Type="http://schemas.openxmlformats.org/officeDocument/2006/relationships/hyperlink" Target="https://s.shopee.vn/7VHDHhq6DU?sub_id=ChiGiang-Chung-FBReels-SP08" TargetMode="External" Id="rId20"/><Relationship Type="http://schemas.openxmlformats.org/officeDocument/2006/relationships/hyperlink" Target="file:///D:/video-ai-aff/shopee-aff-crawler/storage/images/7VHDHhq6DU" TargetMode="External" Id="rId21"/><Relationship Type="http://schemas.openxmlformats.org/officeDocument/2006/relationships/hyperlink" Target="https://s.shopee.vn/3Vl4VSZVgM" TargetMode="External" Id="rId22"/><Relationship Type="http://schemas.openxmlformats.org/officeDocument/2006/relationships/hyperlink" Target="https://s.shopee.vn/3Vl4VSZVgM?sub_id=ChiGiang-Chung-FBReels-SP09" TargetMode="External" Id="rId23"/><Relationship Type="http://schemas.openxmlformats.org/officeDocument/2006/relationships/hyperlink" Target="file:///D:/video-ai-aff/shopee-aff-crawler/storage/images/3Vl4VSZVgM" TargetMode="External" Id="rId24"/><Relationship Type="http://schemas.openxmlformats.org/officeDocument/2006/relationships/hyperlink" Target="https://s.shopee.vn/4B0lIkf37r" TargetMode="External" Id="rId25"/><Relationship Type="http://schemas.openxmlformats.org/officeDocument/2006/relationships/hyperlink" Target="https://s.shopee.vn/4B0lIkf37r?sub_id=ChiGiang-Chung-FBReels-SP10" TargetMode="External" Id="rId26"/><Relationship Type="http://schemas.openxmlformats.org/officeDocument/2006/relationships/hyperlink" Target="file:///D:/video-ai-aff/shopee-aff-crawler/storage/images/4B0lIkf37r" TargetMode="External" Id="rId27"/><Relationship Type="http://schemas.openxmlformats.org/officeDocument/2006/relationships/hyperlink" Target="https://s.shopee.vn/W7Sw3QIXS" TargetMode="External" Id="rId28"/><Relationship Type="http://schemas.openxmlformats.org/officeDocument/2006/relationships/hyperlink" Target="https://s.shopee.vn/W7Sw3QIXS?sub_id=ChiGiang-Chung-FBReels-SP11" TargetMode="External" Id="rId29"/><Relationship Type="http://schemas.openxmlformats.org/officeDocument/2006/relationships/hyperlink" Target="file:///D:/video-ai-aff/shopee-aff-crawler/storage/images/W7Sw3QIXS" TargetMode="External" Id="rId30"/><Relationship Type="http://schemas.openxmlformats.org/officeDocument/2006/relationships/hyperlink" Target="https://s.shopee.vn/9KirSKa8Oy" TargetMode="External" Id="rId31"/><Relationship Type="http://schemas.openxmlformats.org/officeDocument/2006/relationships/hyperlink" Target="https://s.shopee.vn/9KirSKa8Oy?sub_id=ChiGiang-Chung-FBReels-SP12" TargetMode="External" Id="rId32"/><Relationship Type="http://schemas.openxmlformats.org/officeDocument/2006/relationships/hyperlink" Target="file:///D:/video-ai-aff/shopee-aff-crawler/storage/images/9KirSKa8Oy" TargetMode="External" Id="rId33"/><Relationship Type="http://schemas.openxmlformats.org/officeDocument/2006/relationships/hyperlink" Target="https://s.shopee.vn/3LReJLo8Kh" TargetMode="External" Id="rId34"/><Relationship Type="http://schemas.openxmlformats.org/officeDocument/2006/relationships/hyperlink" Target="https://s.shopee.vn/3LReJLo8Kh?sub_id=ChiGiang-Chung-FBReels-SP13" TargetMode="External" Id="rId35"/><Relationship Type="http://schemas.openxmlformats.org/officeDocument/2006/relationships/hyperlink" Target="file:///D:/video-ai-aff/shopee-aff-crawler/storage/images/3LReJLo8Kh" TargetMode="External" Id="rId36"/><Relationship Type="http://schemas.openxmlformats.org/officeDocument/2006/relationships/hyperlink" Target="https://s.shopee.vn/2VsXJrtSkF" TargetMode="External" Id="rId37"/><Relationship Type="http://schemas.openxmlformats.org/officeDocument/2006/relationships/hyperlink" Target="https://s.shopee.vn/2VsXJrtSkF?sub_id=ChiGiang-Chung-FBReels-SP14" TargetMode="External" Id="rId38"/><Relationship Type="http://schemas.openxmlformats.org/officeDocument/2006/relationships/hyperlink" Target="file:///D:/video-ai-aff/shopee-aff-crawler/storage/images/2VsXJrtSkF" TargetMode="External" Id="rId39"/><Relationship Type="http://schemas.openxmlformats.org/officeDocument/2006/relationships/hyperlink" Target="https://s.shopee.vn/1BN9jSjzRA" TargetMode="External" Id="rId40"/><Relationship Type="http://schemas.openxmlformats.org/officeDocument/2006/relationships/hyperlink" Target="https://s.shopee.vn/1BN9jSjzRA?sub_id=ChiGiang-Chung-FBReels-SP15" TargetMode="External" Id="rId41"/><Relationship Type="http://schemas.openxmlformats.org/officeDocument/2006/relationships/hyperlink" Target="file:///D:/video-ai-aff/shopee-aff-crawler/storage/images/1BN9jSjzRA" TargetMode="External" Id="rId42"/><Relationship Type="http://schemas.openxmlformats.org/officeDocument/2006/relationships/hyperlink" Target="https://s.shopee.vn/40hL6imMMV" TargetMode="External" Id="rId43"/><Relationship Type="http://schemas.openxmlformats.org/officeDocument/2006/relationships/hyperlink" Target="https://s.shopee.vn/40hL6imMMV?sub_id=ChiGiang-Chung-FBReels-SP16" TargetMode="External" Id="rId44"/><Relationship Type="http://schemas.openxmlformats.org/officeDocument/2006/relationships/hyperlink" Target="file:///D:/video-ai-aff/shopee-aff-crawler/storage/images/40hL6imMMV" TargetMode="External" Id="rId45"/><Relationship Type="http://schemas.openxmlformats.org/officeDocument/2006/relationships/hyperlink" Target="https://s.shopee.vn/4qGS6IXjTc" TargetMode="External" Id="rId46"/><Relationship Type="http://schemas.openxmlformats.org/officeDocument/2006/relationships/hyperlink" Target="https://s.shopee.vn/4qGS6IXjTc?sub_id=ChiGiang-Chung-FBReels-SP17" TargetMode="External" Id="rId47"/><Relationship Type="http://schemas.openxmlformats.org/officeDocument/2006/relationships/hyperlink" Target="file:///D:/video-ai-aff/shopee-aff-crawler/storage/images/4qGS6IXjTc" TargetMode="External" Id="rId48"/><Relationship Type="http://schemas.openxmlformats.org/officeDocument/2006/relationships/hyperlink" Target="https://s.shopee.vn/9V2Hev1YVq" TargetMode="External" Id="rId49"/><Relationship Type="http://schemas.openxmlformats.org/officeDocument/2006/relationships/hyperlink" Target="https://s.shopee.vn/9V2Hev1YVq?sub_id=ChiGiang-Chung-FBReels-SP18" TargetMode="External" Id="rId50"/><Relationship Type="http://schemas.openxmlformats.org/officeDocument/2006/relationships/hyperlink" Target="file:///D:/video-ai-aff/shopee-aff-crawler/storage/images/9V2Hev1YVq" TargetMode="External" Id="rId51"/><Relationship Type="http://schemas.openxmlformats.org/officeDocument/2006/relationships/hyperlink" Target="https://s.shopee.vn/113jXLfZSC" TargetMode="External" Id="rId52"/><Relationship Type="http://schemas.openxmlformats.org/officeDocument/2006/relationships/hyperlink" Target="https://s.shopee.vn/113jXLfZSC?sub_id=ChiGiang-Chung-FBReels-SP19" TargetMode="External" Id="rId53"/><Relationship Type="http://schemas.openxmlformats.org/officeDocument/2006/relationships/hyperlink" Target="file:///D:/video-ai-aff/shopee-aff-crawler/storage/images/113jXLfZSC" TargetMode="External" Id="rId54"/><Relationship Type="http://schemas.openxmlformats.org/officeDocument/2006/relationships/hyperlink" Target="https://s.shopee.vn/1LgZw0Yxv6" TargetMode="External" Id="rId55"/><Relationship Type="http://schemas.openxmlformats.org/officeDocument/2006/relationships/hyperlink" Target="https://s.shopee.vn/1LgZw0Yxv6?sub_id=ChiGiang-Chung-FBReels-SP20" TargetMode="External" Id="rId56"/><Relationship Type="http://schemas.openxmlformats.org/officeDocument/2006/relationships/hyperlink" Target="file:///D:/video-ai-aff/shopee-aff-crawler/storage/images/1LgZw0Yxv6" TargetMode="External" Id="rId57"/><Relationship Type="http://schemas.openxmlformats.org/officeDocument/2006/relationships/hyperlink" Target="https://s.shopee.vn/2gBxWVFPSZ" TargetMode="External" Id="rId58"/><Relationship Type="http://schemas.openxmlformats.org/officeDocument/2006/relationships/hyperlink" Target="https://s.shopee.vn/2gBxWVFPSZ?sub_id=ChiGiang-Chung-FBReels-SP21" TargetMode="External" Id="rId59"/><Relationship Type="http://schemas.openxmlformats.org/officeDocument/2006/relationships/hyperlink" Target="file:///D:/video-ai-aff/shopee-aff-crawler/storage/images/2gBxWVFPSZ" TargetMode="External" Id="rId60"/><Relationship Type="http://schemas.openxmlformats.org/officeDocument/2006/relationships/hyperlink" Target="https://s.shopee.vn/AUuoqwSmIs" TargetMode="External" Id="rId61"/><Relationship Type="http://schemas.openxmlformats.org/officeDocument/2006/relationships/hyperlink" Target="https://s.shopee.vn/AUuoqwSmIs?sub_id=ChiGiang-Chung-FBReels-SP22" TargetMode="External" Id="rId62"/><Relationship Type="http://schemas.openxmlformats.org/officeDocument/2006/relationships/hyperlink" Target="file:///D:/video-ai-aff/shopee-aff-crawler/storage/images/AUuoqwSmIs" TargetMode="External" Id="rId63"/><Relationship Type="http://schemas.openxmlformats.org/officeDocument/2006/relationships/hyperlink" Target="https://s.shopee.vn/30onvCyWAQ" TargetMode="External" Id="rId64"/><Relationship Type="http://schemas.openxmlformats.org/officeDocument/2006/relationships/hyperlink" Target="https://s.shopee.vn/30onvCyWAQ?sub_id=ChiGiang-Chung-FBReels-SP23" TargetMode="External" Id="rId65"/><Relationship Type="http://schemas.openxmlformats.org/officeDocument/2006/relationships/hyperlink" Target="file:///D:/video-ai-aff/shopee-aff-crawler/storage/images/30onvCyWAQ" TargetMode="External" Id="rId66"/></Relationships>
</file>

<file path=xl/worksheets/_rels/sheet16.xml.rels><Relationships xmlns="http://schemas.openxmlformats.org/package/2006/relationships"><Relationship Type="http://schemas.openxmlformats.org/officeDocument/2006/relationships/hyperlink" Target="file:///D:/video-ai-aff/chi-giang-loat-2" TargetMode="External" Id="rId1"/><Relationship Type="http://schemas.openxmlformats.org/officeDocument/2006/relationships/hyperlink" Target="file:///D:/video-ai-aff/chi-giang-loat-2/nhan-vat-chi.png" TargetMode="External" Id="rId2"/><Relationship Type="http://schemas.openxmlformats.org/officeDocument/2006/relationships/hyperlink" Target="file:///D:/video-ai-aff/chi-giang-review-san-pham/kich-ban-6-video.md" TargetMode="External" Id="rId3"/><Relationship Type="http://schemas.openxmlformats.org/officeDocument/2006/relationships/hyperlink" Target="file:///D:/video-ai-aff/san-pham-kenh-chi-giang.xlsx" TargetMode="External" Id="rId4"/><Relationship Type="http://schemas.openxmlformats.org/officeDocument/2006/relationships/hyperlink" Target="file:///D:/video-ai-aff/shopee-aff-crawler/storage/images" TargetMode="External" Id="rId5"/><Relationship Type="http://schemas.openxmlformats.org/officeDocument/2006/relationships/hyperlink" Target="file:///D:/video-ai-aff/research/chi-giang-sp/kalodata-tu-khoa-30ngay.txt" TargetMode="External" Id="rId6"/><Relationship Type="http://schemas.openxmlformats.org/officeDocument/2006/relationships/hyperlink" Target="file:///D:/video-ai-aff/viral-studio-downloads/videos/gioi-tinh" TargetMode="External" Id="rId7"/><Relationship Type="http://schemas.openxmlformats.org/officeDocument/2006/relationships/hyperlink" Target="file:///D:/video-ai-aff/viral-studio-downloads/postiz-giot-lanh.py" TargetMode="External" Id="rId8"/><Relationship Type="http://schemas.openxmlformats.org/officeDocument/2006/relationships/hyperlink" Target="https://mlabai.uk" TargetMode="External" Id="rId9"/><Relationship Type="http://schemas.openxmlformats.org/officeDocument/2006/relationships/hyperlink" Target="http://127.0.0.1:8765" TargetMode="External" Id="rId10"/></Relationships>
</file>

<file path=xl/worksheets/sheet1.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 customWidth="1" min="1" max="1"/>
    <col width="30" customWidth="1" min="2" max="2"/>
    <col width="92" customWidth="1" min="3" max="3"/>
  </cols>
  <sheetData>
    <row r="1">
      <c r="A1" s="1" t="inlineStr">
        <is>
          <t>HƯỚNG DẪN – FILE VẬN HÀNH KÊNH CHỊ GIANG HIỂU CHUYỆN</t>
        </is>
      </c>
    </row>
    <row r="2">
      <c r="A2" s="2" t="inlineStr">
        <is>
          <t>Hỏi đáp sinh lý – vợ chồng cho đàn ông 45+ · Affiliate Shopee · Facebook Reels · lập ngày 16/10/2026</t>
        </is>
      </c>
    </row>
    <row r="4">
      <c r="A4" s="3" t="inlineStr">
        <is>
          <t>Mục tiêu</t>
        </is>
      </c>
    </row>
    <row r="5">
      <c r="B5" s="4" t="inlineStr">
        <is>
          <t>Mục tiêu sản lượng</t>
        </is>
      </c>
      <c r="C5" s="5" t="inlineStr">
        <is>
          <t>8 video/ngày từ tuần 4 (≈240 video/tháng), mỗi video có link Shopee kèm Sub_id riêng</t>
        </is>
      </c>
    </row>
    <row r="6">
      <c r="B6" s="4" t="inlineStr">
        <is>
          <t>Chỉ số chính</t>
        </is>
      </c>
      <c r="C6" s="5" t="inlineStr">
        <is>
          <t>Hoa hồng Shopee affiliate mỗi tuần (xem TONG_QUAN)</t>
        </is>
      </c>
    </row>
    <row r="7">
      <c r="B7" s="4" t="inlineStr">
        <is>
          <t>Bắt đầu</t>
        </is>
      </c>
      <c r="C7" s="5" t="inlineStr">
        <is>
          <t>Giai đoạn 0 dựng nền 16–18/10 · Tuần 1 bắt đầu thứ Hai 19/10/2026 · lộ trình 12 tuần đến 10/01/2027</t>
        </is>
      </c>
    </row>
    <row r="9">
      <c r="A9" s="3" t="inlineStr">
        <is>
          <t>Bốn điều cần biết trước khi chạy</t>
        </is>
      </c>
    </row>
    <row r="10" ht="56" customHeight="1">
      <c r="B10" s="6" t="inlineStr">
        <is>
          <t>1. Hoa hồng tính theo Shopee, không theo TikTok</t>
        </is>
      </c>
      <c r="C10" s="5" t="inlineStr">
        <is>
          <t>Tên, giá, hoa hồng ở SAN_PHAM lấy đúng sản phẩm trong link Shopee. Thực phẩm chức năng trên Shopee thường chỉ 2,5–7,5% (TikTok 10–15%), nên thứ hạng đã đổi. Hoa hồng/đơn cao nhất hiện tại: Viên Thận Botamax ~46k, Quần boxer nam thông hơi Natural Breath (combo 3) ~42k, Máy đo huyết áp Omron HEM-7180 ~42k, Viên Bổ Thận DSD Sâm Nhung ~38k, Gối massage hồng ngoại Kingtech KP-315 ~30k.</t>
        </is>
      </c>
    </row>
    <row r="11" ht="56" customHeight="1">
      <c r="B11" s="6" t="inlineStr">
        <is>
          <t>2. Mỗi video một Sub_id</t>
        </is>
      </c>
      <c r="C11" s="5" t="inlineStr">
        <is>
          <t>Cột I của KHO_KICH_BAN tự tạo link dạng …?sub_id=ChiGiang-&lt;ID video&gt;-FBReels-SP&lt;mã SP&gt;. Dán đúng link này vào bình luận gốc thì báo cáo Shopee cho biết video nào ra đơn – không cần đoán.</t>
        </is>
      </c>
    </row>
    <row r="12" ht="56" customHeight="1">
      <c r="B12" s="6" t="inlineStr">
        <is>
          <t>3. Một page, nội dung nhạy cảm</t>
        </is>
      </c>
      <c r="C12" s="5" t="inlineStr">
        <is>
          <t>Chị Giang Hiểu Chuyện là page duy nhất của dự án: bị hạn chế là mất hết. Giữ giọng chia sẻ kiến thức, không xưng bác sĩ, không hình gợi dục, không hứa “tăng sinh lý” (QC điểm 3–5).</t>
        </is>
      </c>
    </row>
    <row r="13" ht="56" customHeight="1">
      <c r="B13" s="6" t="inlineStr">
        <is>
          <t>4. Bài toán kinh tế chưa được chứng minh</t>
        </is>
      </c>
      <c r="C13" s="5" t="inlineStr">
        <is>
          <t>Với giả định 5.000 view/video, hoa hồng khi đủ 8 video/ngày khoảng 6.6 triệu/tháng, trong khi 4 người tốn khoảng 32 triệu/tháng. Ngưỡng hòa vốn ≈ 24.248 view/video. Giai đoạn 1 chạy 2 người kiêm nhiệm; lấy số thật của page ngay (việc T08).</t>
        </is>
      </c>
    </row>
    <row r="15">
      <c r="A15" s="3" t="inlineStr">
        <is>
          <t>Quy ước màu</t>
        </is>
      </c>
    </row>
    <row r="16">
      <c r="B16" s="7" t="inlineStr">
        <is>
          <t>Chữ xanh dương, nền vàng nhạt</t>
        </is>
      </c>
      <c r="C16" s="5" t="inlineStr">
        <is>
          <t>Ô cần điền hoặc chọn – chỉ sửa những ô này</t>
        </is>
      </c>
    </row>
    <row r="17">
      <c r="B17" s="5" t="inlineStr">
        <is>
          <t>Chữ đen</t>
        </is>
      </c>
      <c r="C17" s="5" t="inlineStr">
        <is>
          <t>Công thức – không sửa, tự tính</t>
        </is>
      </c>
    </row>
    <row r="18">
      <c r="B18" s="8" t="inlineStr">
        <is>
          <t>Chữ xanh lá</t>
        </is>
      </c>
      <c r="C18" s="5" t="inlineStr">
        <is>
          <t>Công thức lấy dữ liệu từ sheet khác</t>
        </is>
      </c>
    </row>
    <row r="19">
      <c r="B19" s="9" t="inlineStr">
        <is>
          <t>Nền đỏ nhạt</t>
        </is>
      </c>
      <c r="C19" s="5" t="inlineStr">
        <is>
          <t>Cần xử lý (quá hạn, dưới ngưỡng, link cần sửa)</t>
        </is>
      </c>
    </row>
    <row r="21">
      <c r="A21" s="3" t="inlineStr">
        <is>
          <t>Ai dùng sheet nào</t>
        </is>
      </c>
    </row>
    <row r="22" ht="30" customHeight="1">
      <c r="B22" s="4" t="inlineStr">
        <is>
          <t>Điều phối kiêm trưởng nội dung (R1)</t>
        </is>
      </c>
      <c r="C22" s="5" t="inlineStr">
        <is>
          <t>TONG_QUAN mỗi sáng · KHO_KICH_BAN (duyệt: đổi trạng thái) · LO_TRINH · CONG_VIEC · DU_BAO · review Chủ nhật</t>
        </is>
      </c>
    </row>
    <row r="23" ht="30" customHeight="1">
      <c r="B23" s="4" t="inlineStr">
        <is>
          <t>Biên kịch – master prompt (R2)</t>
        </is>
      </c>
      <c r="C23" s="5" t="inlineStr">
        <is>
          <t>KHO_KICH_BAN: nhận dòng “Ý tưởng” → viết prompt → đổi sang “Chờ duyệt”. Khuôn và luật giọng nói ở KENH, mẫu ở TAI_NGUYEN</t>
        </is>
      </c>
    </row>
    <row r="24" ht="30" customHeight="1">
      <c r="B24" s="4" t="inlineStr">
        <is>
          <t>Sản xuất video (R3)</t>
        </is>
      </c>
      <c r="C24" s="5" t="inlineStr">
        <is>
          <t>KHO_KICH_BAN: lọc “Đã duyệt” → Viral Studio → “Đang sản xuất” → “QC”</t>
        </is>
      </c>
    </row>
    <row r="25" ht="30" customHeight="1">
      <c r="B25" s="4" t="inlineStr">
        <is>
          <t>Đăng bài, cộng đồng &amp; dữ liệu (R4)</t>
        </is>
      </c>
      <c r="C25" s="5" t="inlineStr">
        <is>
          <t>KHO_KICH_BAN: lọc “QC” → kiểm 10 điểm (QUY_TRINH) → Postiz, dán link cột I vào bình luận gốc → “Đã đăng”. SAN_PHAM (trạng thái link) · THEO_DOI_NGAY (nhập số mỗi sáng)</t>
        </is>
      </c>
    </row>
    <row r="26" ht="30" customHeight="1">
      <c r="B26" s="4" t="inlineStr">
        <is>
          <t>Mọi người</t>
        </is>
      </c>
      <c r="C26" s="5" t="inlineStr">
        <is>
          <t>NGUON_CONTENT: thấy video, kênh, hook hay thì dán link + ghi “Học được gì”. Trang HTML (tab Nguồn content) dán link là xem ngay</t>
        </is>
      </c>
    </row>
    <row r="28">
      <c r="A28" s="3" t="inlineStr">
        <is>
          <t>Luồng một video</t>
        </is>
      </c>
    </row>
    <row r="29">
      <c r="B29" s="4" t="inlineStr">
        <is>
          <t>Trạng thái</t>
        </is>
      </c>
      <c r="C29" s="5" t="inlineStr">
        <is>
          <t>Ý tưởng → Đang viết → Chờ duyệt → Cần sửa → Đã duyệt → Đang sản xuất → QC → Sẵn sàng đăng → Đã đăng (hoặc Hủy)</t>
        </is>
      </c>
    </row>
    <row r="30">
      <c r="B30" s="4" t="inlineStr">
        <is>
          <t>Cập nhật file</t>
        </is>
      </c>
      <c r="C30" s="5" t="inlineStr">
        <is>
          <t>File HTML “du-an-chi-giang.html” là bản trực quan để xem và giao việc; số liệu sống nằm ở file Excel này. Chạy python build.py chỉ làm mới file HTML; file Excel chỉ tạo lại khi chạy python build.py excel (sẽ xóa số liệu đã nhập).</t>
        </is>
      </c>
    </row>
  </sheetData>
  <pageMargins left="0.75" right="0.75" top="1" bottom="1" header="0.5" footer="0.5"/>
</worksheet>
</file>

<file path=xl/worksheets/sheet2.xml><?xml version="1.0" encoding="utf-8"?>
<worksheet xmlns="http://schemas.openxmlformats.org/spreadsheetml/2006/main">
  <sheetPr>
    <tabColor rgb="000F4C5C"/>
    <outlinePr summaryBelow="1" summaryRight="1"/>
    <pageSetUpPr/>
  </sheetPr>
  <dimension ref="A1:H54"/>
  <sheetViews>
    <sheetView showGridLines="0" workbookViewId="0">
      <selection activeCell="A1" sqref="A1"/>
    </sheetView>
  </sheetViews>
  <sheetFormatPr baseColWidth="8" defaultRowHeight="15"/>
  <cols>
    <col width="36" customWidth="1" min="1" max="1"/>
    <col width="16" customWidth="1" min="2" max="2"/>
    <col width="14" customWidth="1" min="3" max="3"/>
    <col width="14" customWidth="1" min="4" max="4"/>
    <col width="14" customWidth="1" min="5" max="5"/>
    <col width="14" customWidth="1" min="6" max="6"/>
    <col width="14" customWidth="1" min="7" max="7"/>
    <col width="16" customWidth="1" min="8" max="8"/>
  </cols>
  <sheetData>
    <row r="1">
      <c r="A1" s="1" t="inlineStr">
        <is>
          <t>TỔNG QUAN ĐIỀU HÀNH</t>
        </is>
      </c>
    </row>
    <row r="2">
      <c r="A2" s="2" t="inlineStr">
        <is>
          <t>Mở mỗi sáng. Mọi số đều tự tính từ các sheet khác – không nhập tay ở đây.</t>
        </is>
      </c>
    </row>
    <row r="3">
      <c r="A3" s="3" t="inlineStr">
        <is>
          <t>Chỉ số chính</t>
        </is>
      </c>
    </row>
    <row r="4">
      <c r="A4" s="4" t="inlineStr">
        <is>
          <t>Video kế hoạch đến hôm nay</t>
        </is>
      </c>
      <c r="B4" s="10">
        <f>SUMIFS(THEO_DOI_NGAY!$C$5:$C$88,THEO_DOI_NGAY!$A$5:$A$88,"&lt;="&amp;TODAY())</f>
        <v/>
      </c>
    </row>
    <row r="5">
      <c r="A5" s="4" t="inlineStr">
        <is>
          <t>Video đã đăng</t>
        </is>
      </c>
      <c r="B5" s="10">
        <f>SUM(THEO_DOI_NGAY!$D$5:$D$88)</f>
        <v/>
      </c>
    </row>
    <row r="6">
      <c r="A6" s="4" t="inlineStr">
        <is>
          <t>% hoàn thành kế hoạch</t>
        </is>
      </c>
      <c r="B6" s="11">
        <f>IF(B4=0,"",B5/B4)</f>
        <v/>
      </c>
    </row>
    <row r="7">
      <c r="A7" s="4" t="inlineStr">
        <is>
          <t>Tổng view</t>
        </is>
      </c>
      <c r="B7" s="10">
        <f>SUM(THEO_DOI_NGAY!$F$5:$F$88)</f>
        <v/>
      </c>
    </row>
    <row r="8">
      <c r="A8" s="4" t="inlineStr">
        <is>
          <t>Tổng click</t>
        </is>
      </c>
      <c r="B8" s="10">
        <f>SUM(THEO_DOI_NGAY!$G$5:$G$88)</f>
        <v/>
      </c>
    </row>
    <row r="9">
      <c r="A9" s="4" t="inlineStr">
        <is>
          <t>Tổng đơn</t>
        </is>
      </c>
      <c r="B9" s="10">
        <f>SUM(THEO_DOI_NGAY!$H$5:$H$88)</f>
        <v/>
      </c>
    </row>
    <row r="10">
      <c r="A10" s="4" t="inlineStr">
        <is>
          <t>Tổng hoa hồng (đ)</t>
        </is>
      </c>
      <c r="B10" s="10">
        <f>SUM(THEO_DOI_NGAY!$I$5:$I$88)</f>
        <v/>
      </c>
    </row>
    <row r="11">
      <c r="A11" s="4" t="inlineStr">
        <is>
          <t>Hoa hồng/video đã đăng (đ)</t>
        </is>
      </c>
      <c r="B11" s="12">
        <f>IF(B5=0,"",B10/B5)</f>
        <v/>
      </c>
    </row>
    <row r="12">
      <c r="A12" s="4" t="inlineStr">
        <is>
          <t>Hoa hồng 7 ngày gần nhất (đ)</t>
        </is>
      </c>
      <c r="B12" s="10">
        <f>SUMIFS(THEO_DOI_NGAY!$I$5:$I$88,THEO_DOI_NGAY!$A$5:$A$88,"&gt;"&amp;(TODAY()-7),THEO_DOI_NGAY!$A$5:$A$88,"&lt;="&amp;TODAY())</f>
        <v/>
      </c>
    </row>
    <row r="15">
      <c r="A15" s="3" t="inlineStr">
        <is>
          <t>Theo trụ cột (từ KHO_KICH_BAN, video “Đã đăng”)</t>
        </is>
      </c>
    </row>
    <row r="16" ht="30" customHeight="1">
      <c r="A16" s="13" t="inlineStr">
        <is>
          <t>Trụ cột</t>
        </is>
      </c>
      <c r="B16" s="13" t="inlineStr">
        <is>
          <t>Video/ngày hiện tại</t>
        </is>
      </c>
      <c r="C16" s="13" t="inlineStr">
        <is>
          <t>Đã đăng</t>
        </is>
      </c>
      <c r="D16" s="13" t="inlineStr">
        <is>
          <t>View</t>
        </is>
      </c>
      <c r="E16" s="13" t="inlineStr">
        <is>
          <t>Click</t>
        </is>
      </c>
      <c r="F16" s="13" t="inlineStr">
        <is>
          <t>Đơn</t>
        </is>
      </c>
      <c r="G16" s="13" t="inlineStr">
        <is>
          <t>Click/View</t>
        </is>
      </c>
      <c r="H16" s="13" t="inlineStr">
        <is>
          <t>Đơn/video</t>
        </is>
      </c>
    </row>
    <row r="17">
      <c r="A17" s="4" t="inlineStr">
        <is>
          <t>T1 · Phong độ &amp; tiết niệu</t>
        </is>
      </c>
      <c r="B17" s="14">
        <f>IFERROR(INDEX(LO_TRINH!D$4:D$15,MATCH(TODAY(),LO_TRINH!$B$4:$B$15,1)),0)</f>
        <v/>
      </c>
      <c r="C17" s="10">
        <f>COUNTIFS(KHO_KICH_BAN!$B$5:$B$404,"T1",KHO_KICH_BAN!$M$5:$M$404,"Đã đăng")</f>
        <v/>
      </c>
      <c r="D17" s="10">
        <f>SUMIFS(KHO_KICH_BAN!$Q$5:$Q$404,KHO_KICH_BAN!$B$5:$B$404,"T1",KHO_KICH_BAN!$M$5:$M$404,"Đã đăng")</f>
        <v/>
      </c>
      <c r="E17" s="10">
        <f>SUMIFS(KHO_KICH_BAN!$R$5:$R$404,KHO_KICH_BAN!$B$5:$B$404,"T1",KHO_KICH_BAN!$M$5:$M$404,"Đã đăng")</f>
        <v/>
      </c>
      <c r="F17" s="10">
        <f>SUMIFS(KHO_KICH_BAN!$S$5:$S$404,KHO_KICH_BAN!$B$5:$B$404,"T1",KHO_KICH_BAN!$M$5:$M$404,"Đã đăng")</f>
        <v/>
      </c>
      <c r="G17" s="15">
        <f>IF(D17=0,"",E17/D17)</f>
        <v/>
      </c>
      <c r="H17" s="16">
        <f>IF(C17=0,"",F17/C17)</f>
        <v/>
      </c>
    </row>
    <row r="18">
      <c r="A18" s="4" t="inlineStr">
        <is>
          <t>T2 · Chuyện vợ chồng</t>
        </is>
      </c>
      <c r="B18" s="14">
        <f>IFERROR(INDEX(LO_TRINH!E$4:E$15,MATCH(TODAY(),LO_TRINH!$B$4:$B$15,1)),0)</f>
        <v/>
      </c>
      <c r="C18" s="10">
        <f>COUNTIFS(KHO_KICH_BAN!$B$5:$B$404,"T2",KHO_KICH_BAN!$M$5:$M$404,"Đã đăng")</f>
        <v/>
      </c>
      <c r="D18" s="10">
        <f>SUMIFS(KHO_KICH_BAN!$Q$5:$Q$404,KHO_KICH_BAN!$B$5:$B$404,"T2",KHO_KICH_BAN!$M$5:$M$404,"Đã đăng")</f>
        <v/>
      </c>
      <c r="E18" s="10">
        <f>SUMIFS(KHO_KICH_BAN!$R$5:$R$404,KHO_KICH_BAN!$B$5:$B$404,"T2",KHO_KICH_BAN!$M$5:$M$404,"Đã đăng")</f>
        <v/>
      </c>
      <c r="F18" s="10">
        <f>SUMIFS(KHO_KICH_BAN!$S$5:$S$404,KHO_KICH_BAN!$B$5:$B$404,"T2",KHO_KICH_BAN!$M$5:$M$404,"Đã đăng")</f>
        <v/>
      </c>
      <c r="G18" s="15">
        <f>IF(D18=0,"",E18/D18)</f>
        <v/>
      </c>
      <c r="H18" s="16">
        <f>IF(C18=0,"",F18/C18)</f>
        <v/>
      </c>
    </row>
    <row r="19">
      <c r="A19" s="4" t="inlineStr">
        <is>
          <t>T3 · Bệnh nền &amp; chuyện ấy</t>
        </is>
      </c>
      <c r="B19" s="14">
        <f>IFERROR(INDEX(LO_TRINH!F$4:F$15,MATCH(TODAY(),LO_TRINH!$B$4:$B$15,1)),0)</f>
        <v/>
      </c>
      <c r="C19" s="10">
        <f>COUNTIFS(KHO_KICH_BAN!$B$5:$B$404,"T3",KHO_KICH_BAN!$M$5:$M$404,"Đã đăng")</f>
        <v/>
      </c>
      <c r="D19" s="10">
        <f>SUMIFS(KHO_KICH_BAN!$Q$5:$Q$404,KHO_KICH_BAN!$B$5:$B$404,"T3",KHO_KICH_BAN!$M$5:$M$404,"Đã đăng")</f>
        <v/>
      </c>
      <c r="E19" s="10">
        <f>SUMIFS(KHO_KICH_BAN!$R$5:$R$404,KHO_KICH_BAN!$B$5:$B$404,"T3",KHO_KICH_BAN!$M$5:$M$404,"Đã đăng")</f>
        <v/>
      </c>
      <c r="F19" s="10">
        <f>SUMIFS(KHO_KICH_BAN!$S$5:$S$404,KHO_KICH_BAN!$B$5:$B$404,"T3",KHO_KICH_BAN!$M$5:$M$404,"Đã đăng")</f>
        <v/>
      </c>
      <c r="G19" s="15">
        <f>IF(D19=0,"",E19/D19)</f>
        <v/>
      </c>
      <c r="H19" s="16">
        <f>IF(C19=0,"",F19/C19)</f>
        <v/>
      </c>
    </row>
    <row r="20">
      <c r="A20" s="4" t="inlineStr">
        <is>
          <t>T4 · Phong độ bề ngoài</t>
        </is>
      </c>
      <c r="B20" s="14">
        <f>IFERROR(INDEX(LO_TRINH!G$4:G$15,MATCH(TODAY(),LO_TRINH!$B$4:$B$15,1)),0)</f>
        <v/>
      </c>
      <c r="C20" s="10">
        <f>COUNTIFS(KHO_KICH_BAN!$B$5:$B$404,"T4",KHO_KICH_BAN!$M$5:$M$404,"Đã đăng")</f>
        <v/>
      </c>
      <c r="D20" s="10">
        <f>SUMIFS(KHO_KICH_BAN!$Q$5:$Q$404,KHO_KICH_BAN!$B$5:$B$404,"T4",KHO_KICH_BAN!$M$5:$M$404,"Đã đăng")</f>
        <v/>
      </c>
      <c r="E20" s="10">
        <f>SUMIFS(KHO_KICH_BAN!$R$5:$R$404,KHO_KICH_BAN!$B$5:$B$404,"T4",KHO_KICH_BAN!$M$5:$M$404,"Đã đăng")</f>
        <v/>
      </c>
      <c r="F20" s="10">
        <f>SUMIFS(KHO_KICH_BAN!$S$5:$S$404,KHO_KICH_BAN!$B$5:$B$404,"T4",KHO_KICH_BAN!$M$5:$M$404,"Đã đăng")</f>
        <v/>
      </c>
      <c r="G20" s="15">
        <f>IF(D20=0,"",E20/D20)</f>
        <v/>
      </c>
      <c r="H20" s="16">
        <f>IF(C20=0,"",F20/C20)</f>
        <v/>
      </c>
    </row>
    <row r="21">
      <c r="A21" s="4" t="inlineStr">
        <is>
          <t>T5 · Sống khỏe tuổi 50+</t>
        </is>
      </c>
      <c r="B21" s="14">
        <f>IFERROR(INDEX(LO_TRINH!H$4:H$15,MATCH(TODAY(),LO_TRINH!$B$4:$B$15,1)),0)</f>
        <v/>
      </c>
      <c r="C21" s="10">
        <f>COUNTIFS(KHO_KICH_BAN!$B$5:$B$404,"T5",KHO_KICH_BAN!$M$5:$M$404,"Đã đăng")</f>
        <v/>
      </c>
      <c r="D21" s="10">
        <f>SUMIFS(KHO_KICH_BAN!$Q$5:$Q$404,KHO_KICH_BAN!$B$5:$B$404,"T5",KHO_KICH_BAN!$M$5:$M$404,"Đã đăng")</f>
        <v/>
      </c>
      <c r="E21" s="10">
        <f>SUMIFS(KHO_KICH_BAN!$R$5:$R$404,KHO_KICH_BAN!$B$5:$B$404,"T5",KHO_KICH_BAN!$M$5:$M$404,"Đã đăng")</f>
        <v/>
      </c>
      <c r="F21" s="10">
        <f>SUMIFS(KHO_KICH_BAN!$S$5:$S$404,KHO_KICH_BAN!$B$5:$B$404,"T5",KHO_KICH_BAN!$M$5:$M$404,"Đã đăng")</f>
        <v/>
      </c>
      <c r="G21" s="15">
        <f>IF(D21=0,"",E21/D21)</f>
        <v/>
      </c>
      <c r="H21" s="16">
        <f>IF(C21=0,"",F21/C21)</f>
        <v/>
      </c>
    </row>
    <row r="22">
      <c r="A22" s="17" t="inlineStr">
        <is>
          <t>Tổng</t>
        </is>
      </c>
      <c r="B22" s="18">
        <f>SUM(B17:B21)</f>
        <v/>
      </c>
      <c r="C22" s="18">
        <f>SUM(C17:C21)</f>
        <v/>
      </c>
      <c r="D22" s="18">
        <f>SUM(D17:D21)</f>
        <v/>
      </c>
      <c r="E22" s="18">
        <f>SUM(E17:E21)</f>
        <v/>
      </c>
      <c r="F22" s="18">
        <f>SUM(F17:F21)</f>
        <v/>
      </c>
      <c r="G22" s="19">
        <f>IF(D22=0,"",E22/D22)</f>
        <v/>
      </c>
      <c r="H22" s="20">
        <f>IF(C22=0,"",F22/C22)</f>
        <v/>
      </c>
    </row>
    <row r="24">
      <c r="A24" s="3" t="inlineStr">
        <is>
          <t>Theo loại video</t>
        </is>
      </c>
    </row>
    <row r="25" ht="30" customHeight="1">
      <c r="A25" s="13" t="inlineStr">
        <is>
          <t>Loại video</t>
        </is>
      </c>
      <c r="B25" s="13" t="inlineStr">
        <is>
          <t>Đã đăng</t>
        </is>
      </c>
      <c r="C25" s="13" t="inlineStr">
        <is>
          <t>View TB</t>
        </is>
      </c>
      <c r="D25" s="13" t="inlineStr">
        <is>
          <t>Đơn</t>
        </is>
      </c>
      <c r="E25" s="13" t="inlineStr">
        <is>
          <t>Đơn/video</t>
        </is>
      </c>
    </row>
    <row r="26">
      <c r="A26" s="4" t="inlineStr">
        <is>
          <t>Hỏi đáp</t>
        </is>
      </c>
      <c r="B26" s="10">
        <f>COUNTIFS(KHO_KICH_BAN!$C$5:$C$404,A26,KHO_KICH_BAN!$M$5:$M$404,"Đã đăng")</f>
        <v/>
      </c>
      <c r="C26" s="10">
        <f>IF(B26=0,"",SUMIFS(KHO_KICH_BAN!$Q$5:$Q$404,KHO_KICH_BAN!$C$5:$C$404,A26,KHO_KICH_BAN!$M$5:$M$404,"Đã đăng")/B26)</f>
        <v/>
      </c>
      <c r="D26" s="10">
        <f>SUMIFS(KHO_KICH_BAN!$S$5:$S$404,KHO_KICH_BAN!$C$5:$C$404,A26,KHO_KICH_BAN!$M$5:$M$404,"Đã đăng")</f>
        <v/>
      </c>
      <c r="E26" s="16">
        <f>IF(B26=0,"",D26/B26)</f>
        <v/>
      </c>
    </row>
    <row r="27">
      <c r="A27" s="4" t="inlineStr">
        <is>
          <t>Hỏi đáp gắn SP</t>
        </is>
      </c>
      <c r="B27" s="10">
        <f>COUNTIFS(KHO_KICH_BAN!$C$5:$C$404,A27,KHO_KICH_BAN!$M$5:$M$404,"Đã đăng")</f>
        <v/>
      </c>
      <c r="C27" s="10">
        <f>IF(B27=0,"",SUMIFS(KHO_KICH_BAN!$Q$5:$Q$404,KHO_KICH_BAN!$C$5:$C$404,A27,KHO_KICH_BAN!$M$5:$M$404,"Đã đăng")/B27)</f>
        <v/>
      </c>
      <c r="D27" s="10">
        <f>SUMIFS(KHO_KICH_BAN!$S$5:$S$404,KHO_KICH_BAN!$C$5:$C$404,A27,KHO_KICH_BAN!$M$5:$M$404,"Đã đăng")</f>
        <v/>
      </c>
      <c r="E27" s="16">
        <f>IF(B27=0,"",D27/B27)</f>
        <v/>
      </c>
    </row>
    <row r="28">
      <c r="A28" s="4" t="inlineStr">
        <is>
          <t>Review sản phẩm</t>
        </is>
      </c>
      <c r="B28" s="10">
        <f>COUNTIFS(KHO_KICH_BAN!$C$5:$C$404,A28,KHO_KICH_BAN!$M$5:$M$404,"Đã đăng")</f>
        <v/>
      </c>
      <c r="C28" s="10">
        <f>IF(B28=0,"",SUMIFS(KHO_KICH_BAN!$Q$5:$Q$404,KHO_KICH_BAN!$C$5:$C$404,A28,KHO_KICH_BAN!$M$5:$M$404,"Đã đăng")/B28)</f>
        <v/>
      </c>
      <c r="D28" s="10">
        <f>SUMIFS(KHO_KICH_BAN!$S$5:$S$404,KHO_KICH_BAN!$C$5:$C$404,A28,KHO_KICH_BAN!$M$5:$M$404,"Đã đăng")</f>
        <v/>
      </c>
      <c r="E28" s="16">
        <f>IF(B28=0,"",D28/B28)</f>
        <v/>
      </c>
    </row>
    <row r="29">
      <c r="A29" s="4" t="inlineStr">
        <is>
          <t>Tình huống vợ chồng</t>
        </is>
      </c>
      <c r="B29" s="10">
        <f>COUNTIFS(KHO_KICH_BAN!$C$5:$C$404,A29,KHO_KICH_BAN!$M$5:$M$404,"Đã đăng")</f>
        <v/>
      </c>
      <c r="C29" s="10">
        <f>IF(B29=0,"",SUMIFS(KHO_KICH_BAN!$Q$5:$Q$404,KHO_KICH_BAN!$C$5:$C$404,A29,KHO_KICH_BAN!$M$5:$M$404,"Đã đăng")/B29)</f>
        <v/>
      </c>
      <c r="D29" s="10">
        <f>SUMIFS(KHO_KICH_BAN!$S$5:$S$404,KHO_KICH_BAN!$C$5:$C$404,A29,KHO_KICH_BAN!$M$5:$M$404,"Đã đăng")</f>
        <v/>
      </c>
      <c r="E29" s="16">
        <f>IF(B29=0,"",D29/B29)</f>
        <v/>
      </c>
    </row>
    <row r="30">
      <c r="A30" s="4" t="inlineStr">
        <is>
          <t>Từ bình luận</t>
        </is>
      </c>
      <c r="B30" s="10">
        <f>COUNTIFS(KHO_KICH_BAN!$C$5:$C$404,A30,KHO_KICH_BAN!$M$5:$M$404,"Đã đăng")</f>
        <v/>
      </c>
      <c r="C30" s="10">
        <f>IF(B30=0,"",SUMIFS(KHO_KICH_BAN!$Q$5:$Q$404,KHO_KICH_BAN!$C$5:$C$404,A30,KHO_KICH_BAN!$M$5:$M$404,"Đã đăng")/B30)</f>
        <v/>
      </c>
      <c r="D30" s="10">
        <f>SUMIFS(KHO_KICH_BAN!$S$5:$S$404,KHO_KICH_BAN!$C$5:$C$404,A30,KHO_KICH_BAN!$M$5:$M$404,"Đã đăng")</f>
        <v/>
      </c>
      <c r="E30" s="16">
        <f>IF(B30=0,"",D30/B30)</f>
        <v/>
      </c>
    </row>
    <row r="32">
      <c r="A32" s="3" t="inlineStr">
        <is>
          <t>Dây chuyền kịch bản (KHO_KICH_BAN)</t>
        </is>
      </c>
    </row>
    <row r="33" ht="30" customHeight="1">
      <c r="A33" s="13" t="inlineStr">
        <is>
          <t>Trạng thái</t>
        </is>
      </c>
      <c r="B33" s="13" t="inlineStr">
        <is>
          <t>Số video</t>
        </is>
      </c>
    </row>
    <row r="34">
      <c r="A34" s="5" t="inlineStr">
        <is>
          <t>Ý tưởng</t>
        </is>
      </c>
      <c r="B34" s="14">
        <f>COUNTIF(KHO_KICH_BAN!$M$5:$M$404,A34)</f>
        <v/>
      </c>
    </row>
    <row r="35">
      <c r="A35" s="5" t="inlineStr">
        <is>
          <t>Đang viết</t>
        </is>
      </c>
      <c r="B35" s="14">
        <f>COUNTIF(KHO_KICH_BAN!$M$5:$M$404,A35)</f>
        <v/>
      </c>
    </row>
    <row r="36">
      <c r="A36" s="5" t="inlineStr">
        <is>
          <t>Chờ duyệt</t>
        </is>
      </c>
      <c r="B36" s="14">
        <f>COUNTIF(KHO_KICH_BAN!$M$5:$M$404,A36)</f>
        <v/>
      </c>
    </row>
    <row r="37">
      <c r="A37" s="5" t="inlineStr">
        <is>
          <t>Cần sửa</t>
        </is>
      </c>
      <c r="B37" s="14">
        <f>COUNTIF(KHO_KICH_BAN!$M$5:$M$404,A37)</f>
        <v/>
      </c>
    </row>
    <row r="38">
      <c r="A38" s="5" t="inlineStr">
        <is>
          <t>Đã duyệt</t>
        </is>
      </c>
      <c r="B38" s="14">
        <f>COUNTIF(KHO_KICH_BAN!$M$5:$M$404,A38)</f>
        <v/>
      </c>
    </row>
    <row r="39">
      <c r="A39" s="5" t="inlineStr">
        <is>
          <t>Đang sản xuất</t>
        </is>
      </c>
      <c r="B39" s="14">
        <f>COUNTIF(KHO_KICH_BAN!$M$5:$M$404,A39)</f>
        <v/>
      </c>
    </row>
    <row r="40">
      <c r="A40" s="5" t="inlineStr">
        <is>
          <t>QC</t>
        </is>
      </c>
      <c r="B40" s="14">
        <f>COUNTIF(KHO_KICH_BAN!$M$5:$M$404,A40)</f>
        <v/>
      </c>
    </row>
    <row r="41">
      <c r="A41" s="5" t="inlineStr">
        <is>
          <t>Sẵn sàng đăng</t>
        </is>
      </c>
      <c r="B41" s="14">
        <f>COUNTIF(KHO_KICH_BAN!$M$5:$M$404,A41)</f>
        <v/>
      </c>
    </row>
    <row r="42">
      <c r="A42" s="5" t="inlineStr">
        <is>
          <t>Đã đăng</t>
        </is>
      </c>
      <c r="B42" s="14">
        <f>COUNTIF(KHO_KICH_BAN!$M$5:$M$404,A42)</f>
        <v/>
      </c>
    </row>
    <row r="43">
      <c r="A43" s="5" t="inlineStr">
        <is>
          <t>Hủy</t>
        </is>
      </c>
      <c r="B43" s="14">
        <f>COUNTIF(KHO_KICH_BAN!$M$5:$M$404,A43)</f>
        <v/>
      </c>
    </row>
    <row r="45">
      <c r="A45" s="3" t="inlineStr">
        <is>
          <t>Việc cần chú ý</t>
        </is>
      </c>
    </row>
    <row r="46">
      <c r="A46" s="4" t="inlineStr">
        <is>
          <t>Link sản phẩm chưa kiểm tra</t>
        </is>
      </c>
      <c r="B46" s="10">
        <f>COUNTIF(SAN_PHAM!$Q$5:$Q$26,"Chưa kiểm tra")</f>
        <v/>
      </c>
    </row>
    <row r="47">
      <c r="A47" s="4" t="inlineStr">
        <is>
          <t>Link sản phẩm “Cần sửa”</t>
        </is>
      </c>
      <c r="B47" s="10">
        <f>COUNTIF(SAN_PHAM!$Q$5:$Q$26,"Cần sửa")</f>
        <v/>
      </c>
    </row>
    <row r="48">
      <c r="A48" s="4" t="inlineStr">
        <is>
          <t>Công việc quá hạn chưa xong</t>
        </is>
      </c>
      <c r="B48" s="10">
        <f>COUNTIFS(CONG_VIEC!$E$5:$E$60,"&lt;"&amp;TODAY(),CONG_VIEC!$F$5:$F$60,"&lt;&gt;Xong")</f>
        <v/>
      </c>
    </row>
    <row r="49">
      <c r="A49" s="4" t="inlineStr">
        <is>
          <t>Công việc đã xong</t>
        </is>
      </c>
      <c r="B49" s="10">
        <f>COUNTIF(CONG_VIEC!$F$5:$F$60,"Xong")</f>
        <v/>
      </c>
    </row>
    <row r="50">
      <c r="A50" s="4" t="inlineStr">
        <is>
          <t>Prompt đang chờ duyệt</t>
        </is>
      </c>
      <c r="B50" s="10">
        <f>COUNTIF(KHO_KICH_BAN!$M$5:$M$404,"Chờ duyệt")</f>
        <v/>
      </c>
    </row>
    <row r="51">
      <c r="A51" s="4" t="inlineStr">
        <is>
          <t>Nguồn content mới chưa phân tích</t>
        </is>
      </c>
      <c r="B51" s="10">
        <f>COUNTIF(NGUON_CONTENT!$M$5:$M$304,"Mới")</f>
        <v/>
      </c>
    </row>
    <row r="52">
      <c r="A52" s="4" t="inlineStr">
        <is>
          <t>Nhân sự cần khi đủ 8 video/ngày</t>
        </is>
      </c>
      <c r="B52" s="10">
        <f>NHAN_SU!B15</f>
        <v/>
      </c>
    </row>
    <row r="53">
      <c r="A53" s="4" t="inlineStr">
        <is>
          <t>Tổng video theo lộ trình 12 tuần</t>
        </is>
      </c>
      <c r="B53" s="10">
        <f>LO_TRINH!J16</f>
        <v/>
      </c>
    </row>
    <row r="54">
      <c r="A54" s="4" t="inlineStr">
        <is>
          <t>Hoa hồng dự kiến 12 tuần (đ, theo giả định)</t>
        </is>
      </c>
      <c r="B54" s="10">
        <f>DU_BAO!F23</f>
        <v/>
      </c>
    </row>
  </sheetData>
  <conditionalFormatting sqref="B46:B48">
    <cfRule type="cellIs" priority="1" operator="greaterThan"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8" customWidth="1" min="1" max="1"/>
    <col width="26" customWidth="1" min="2" max="2"/>
    <col width="44" customWidth="1" min="3" max="3"/>
    <col width="46" customWidth="1" min="4" max="4"/>
    <col width="46" customWidth="1" min="5" max="5"/>
    <col width="14" customWidth="1" min="6" max="6"/>
    <col width="20" customWidth="1" min="7" max="7"/>
  </cols>
  <sheetData>
    <row r="1">
      <c r="A1" s="1" t="inlineStr">
        <is>
          <t>KÊNH CHỊ GIANG HIỂU CHUYỆN – HỒ SƠ &amp; 5 TRỤ CỘT</t>
        </is>
      </c>
    </row>
    <row r="2">
      <c r="A2" s="2" t="inlineStr">
        <is>
          <t>Một kênh, chia nội dung thành 5 trụ cột. Số video/ngày của từng trụ cột lấy từ LO_TRINH.</t>
        </is>
      </c>
    </row>
    <row r="4">
      <c r="A4" s="3" t="inlineStr">
        <is>
          <t>Hồ sơ kênh</t>
        </is>
      </c>
    </row>
    <row r="5" ht="16" customHeight="1">
      <c r="B5" s="4" t="inlineStr">
        <is>
          <t>Tên page</t>
        </is>
      </c>
      <c r="C5" s="5" t="inlineStr">
        <is>
          <t>Chị Giang Hiểu Chuyện</t>
        </is>
      </c>
      <c r="D5" s="21" t="n"/>
      <c r="E5" s="21" t="n"/>
      <c r="F5" s="21" t="n"/>
      <c r="G5" s="22" t="n"/>
    </row>
    <row r="6" ht="16" customHeight="1">
      <c r="B6" s="4" t="inlineStr">
        <is>
          <t>Postiz ID</t>
        </is>
      </c>
      <c r="C6" s="5" t="inlineStr">
        <is>
          <t>cmup0vxri0002qxtax0kkxduf</t>
        </is>
      </c>
      <c r="D6" s="21" t="n"/>
      <c r="E6" s="21" t="n"/>
      <c r="F6" s="21" t="n"/>
      <c r="G6" s="22" t="n"/>
    </row>
    <row r="7" ht="16" customHeight="1">
      <c r="B7" s="4" t="inlineStr">
        <is>
          <t>Thư mục video</t>
        </is>
      </c>
      <c r="C7" s="5" t="inlineStr">
        <is>
          <t>D:\video-ai-aff\viral-studio-downloads\videos\gioi-tinh</t>
        </is>
      </c>
      <c r="D7" s="21" t="n"/>
      <c r="E7" s="21" t="n"/>
      <c r="F7" s="21" t="n"/>
      <c r="G7" s="22" t="n"/>
    </row>
    <row r="8" ht="16" customHeight="1">
      <c r="B8" s="4" t="inlineStr">
        <is>
          <t>Trạng thái</t>
        </is>
      </c>
      <c r="C8" s="5" t="inlineStr">
        <is>
          <t>Đang chạy, đã có ~150 video hỏi đáp; chưa có script Postiz tự động cho page này</t>
        </is>
      </c>
      <c r="D8" s="21" t="n"/>
      <c r="E8" s="21" t="n"/>
      <c r="F8" s="21" t="n"/>
      <c r="G8" s="22" t="n"/>
    </row>
    <row r="9" ht="30" customHeight="1">
      <c r="B9" s="4" t="inlineStr">
        <is>
          <t>Nhân vật</t>
        </is>
      </c>
      <c r="C9" s="5" t="inlineStr">
        <is>
          <t>Chị Giang (ảnh chuẩn chi-giang-loat-2/nhan-vat-chi.png): áo scrubs xanh ngọc cổ V, tóc nâu đen dài, xưng “chị”. Vai phụ: “cô bạn lo lắng” (cùng gương mặt, kính đen tròn, áo hoa) hoặc người chồng.</t>
        </is>
      </c>
      <c r="D9" s="21" t="n"/>
      <c r="E9" s="21" t="n"/>
      <c r="F9" s="21" t="n"/>
      <c r="G9" s="22" t="n"/>
    </row>
    <row r="10" ht="30" customHeight="1">
      <c r="B10" s="4" t="inlineStr">
        <is>
          <t>Định dạng</t>
        </is>
      </c>
      <c r="C10" s="5" t="inlineStr">
        <is>
          <t>Hỏi đáp “Chị ơi, cho em hỏi thầm…”: 70 giây · 7 shot · băng chữ đỏ ghi câu hỏi. Review sản phẩm: 50 giây · 5 shot · sản phẩm trong tay từ giây đầu.</t>
        </is>
      </c>
      <c r="D10" s="21" t="n"/>
      <c r="E10" s="21" t="n"/>
      <c r="F10" s="21" t="n"/>
      <c r="G10" s="22" t="n"/>
    </row>
    <row r="11" ht="30" customHeight="1">
      <c r="B11" s="4" t="inlineStr">
        <is>
          <t>Công cụ</t>
        </is>
      </c>
      <c r="C11" s="5" t="inlineStr">
        <is>
          <t>Viral Studio (studio_create, nguyên văn master prompt + ảnh nhân vật) → xuất MP4 9:16 → Postiz</t>
        </is>
      </c>
      <c r="D11" s="21" t="n"/>
      <c r="E11" s="21" t="n"/>
      <c r="F11" s="21" t="n"/>
      <c r="G11" s="22" t="n"/>
    </row>
    <row r="13">
      <c r="A13" s="3" t="inlineStr">
        <is>
          <t>Tệp khán giả (Facebook Insights lifetime, 16/10/2026)</t>
        </is>
      </c>
    </row>
    <row r="14">
      <c r="B14" s="4" t="inlineStr">
        <is>
          <t>Giới tính</t>
        </is>
      </c>
      <c r="C14" s="5" t="inlineStr">
        <is>
          <t>Nam ~90%</t>
        </is>
      </c>
      <c r="D14" s="21" t="n"/>
      <c r="E14" s="21" t="n"/>
      <c r="F14" s="21" t="n"/>
      <c r="G14" s="22" t="n"/>
    </row>
    <row r="15">
      <c r="B15" s="4" t="inlineStr">
        <is>
          <t>Tuổi</t>
        </is>
      </c>
      <c r="C15" s="5" t="inlineStr">
        <is>
          <t>45–54: 27,1% · 55–64: 25,3% · 65+: 20,3% · 35–44: 15,3% → 73% từ 45 tuổi</t>
        </is>
      </c>
      <c r="D15" s="21" t="n"/>
      <c r="E15" s="21" t="n"/>
      <c r="F15" s="21" t="n"/>
      <c r="G15" s="22" t="n"/>
    </row>
    <row r="16">
      <c r="B16" s="4" t="inlineStr">
        <is>
          <t>Quốc gia</t>
        </is>
      </c>
      <c r="C16" s="5" t="inlineStr">
        <is>
          <t>Việt Nam 92% · Mỹ 6,2% (kiều bào, đang tăng)</t>
        </is>
      </c>
      <c r="D16" s="21" t="n"/>
      <c r="E16" s="21" t="n"/>
      <c r="F16" s="21" t="n"/>
      <c r="G16" s="22" t="n"/>
    </row>
    <row r="17">
      <c r="B17" s="4" t="inlineStr">
        <is>
          <t>Thành phố</t>
        </is>
      </c>
      <c r="C17" s="5" t="inlineStr">
        <is>
          <t>TP.HCM 53,3% (tăng 5 điểm trong 3 ngày) · Hà Nội 8% · Quảng Nam 8% · Đà Nẵng 5,8% · Cà Mau 5,3%</t>
        </is>
      </c>
      <c r="D17" s="21" t="n"/>
      <c r="E17" s="21" t="n"/>
      <c r="F17" s="21" t="n"/>
      <c r="G17" s="22" t="n"/>
    </row>
    <row r="19">
      <c r="A19" s="3" t="inlineStr">
        <is>
          <t>Luật giọng nói (áp vào mọi prompt)</t>
        </is>
      </c>
    </row>
    <row r="20">
      <c r="B20" s="23" t="inlineStr">
        <is>
          <t>•</t>
        </is>
      </c>
      <c r="C20" s="5" t="inlineStr">
        <is>
          <t>Chị xưng “chị”, gọi người xem là “mấy anh”, “anh”; người hỏi gọi “chị ơi”</t>
        </is>
      </c>
      <c r="D20" s="21" t="n"/>
      <c r="E20" s="21" t="n"/>
      <c r="F20" s="21" t="n"/>
      <c r="G20" s="22" t="n"/>
    </row>
    <row r="21">
      <c r="B21" s="23" t="inlineStr">
        <is>
          <t>•</t>
        </is>
      </c>
      <c r="C21" s="5" t="inlineStr">
        <is>
          <t>KHÔNG xưng hay được gọi là bác sĩ, dược sĩ, chuyên gia; không áo blouse, không ống nghe</t>
        </is>
      </c>
      <c r="D21" s="21" t="n"/>
      <c r="E21" s="21" t="n"/>
      <c r="F21" s="21" t="n"/>
      <c r="G21" s="22" t="n"/>
    </row>
    <row r="22">
      <c r="B22" s="23" t="inlineStr">
        <is>
          <t>•</t>
        </is>
      </c>
      <c r="C22" s="5" t="inlineStr">
        <is>
          <t>Giọng và từ ngữ miền Nam, nhịp chậm, chữ to; tránh tiếng lóng giới trẻ</t>
        </is>
      </c>
      <c r="D22" s="21" t="n"/>
      <c r="E22" s="21" t="n"/>
      <c r="F22" s="21" t="n"/>
      <c r="G22" s="22" t="n"/>
    </row>
    <row r="23">
      <c r="B23" s="23" t="inlineStr">
        <is>
          <t>•</t>
        </is>
      </c>
      <c r="C23" s="5" t="inlineStr">
        <is>
          <t>Nói kiểu chia sẻ kiến thức: không tục, không tả hành vi chi tiết, không hình gợi dục</t>
        </is>
      </c>
      <c r="D23" s="21" t="n"/>
      <c r="E23" s="21" t="n"/>
      <c r="F23" s="21" t="n"/>
      <c r="G23" s="22" t="n"/>
    </row>
    <row r="24">
      <c r="B24" s="23" t="inlineStr">
        <is>
          <t>•</t>
        </is>
      </c>
      <c r="C24" s="5" t="inlineStr">
        <is>
          <t>Sản phẩm: video hỏi đáp nhắc đúng 1 lần ở cuối; chỉ nói “hỗ trợ” + triệu chứng, không “chữa”, không “tăng sinh lý”</t>
        </is>
      </c>
      <c r="D24" s="21" t="n"/>
      <c r="E24" s="21" t="n"/>
      <c r="F24" s="21" t="n"/>
      <c r="G24" s="22" t="n"/>
    </row>
    <row r="26">
      <c r="A26" s="3" t="inlineStr">
        <is>
          <t>5 trụ cột nội dung</t>
        </is>
      </c>
    </row>
    <row r="27" ht="30" customHeight="1">
      <c r="A27" s="13" t="inlineStr">
        <is>
          <t>Mã</t>
        </is>
      </c>
      <c r="B27" s="13" t="inlineStr">
        <is>
          <t>Trụ cột</t>
        </is>
      </c>
      <c r="C27" s="13" t="inlineStr">
        <is>
          <t>Nội dung</t>
        </is>
      </c>
      <c r="D27" s="13" t="inlineStr">
        <is>
          <t>Câu hỏi mẫu</t>
        </is>
      </c>
      <c r="E27" s="13" t="inlineStr">
        <is>
          <t>Sản phẩm chủ lực (mã SP)</t>
        </is>
      </c>
      <c r="F27" s="13" t="inlineStr">
        <is>
          <t>Video/ngày (tuần 12)</t>
        </is>
      </c>
      <c r="G27" s="13" t="inlineStr">
        <is>
          <t>Phụ trách viết</t>
        </is>
      </c>
    </row>
    <row r="28" ht="80" customHeight="1">
      <c r="A28" s="24" t="inlineStr">
        <is>
          <t>T1</t>
        </is>
      </c>
      <c r="B28" s="4" t="inlineStr">
        <is>
          <t>Phong độ &amp; tiết niệu</t>
        </is>
      </c>
      <c r="C28" s="5" t="inlineStr">
        <is>
          <t>Tiểu đêm, tiền liệt tuyến, ra ít, hết hứng tuổi 50, rượu thuốc, kẽm</t>
        </is>
      </c>
      <c r="D28" s="5" t="inlineStr">
        <is>
          <t>• Đêm dậy tiểu 3–4 lần là bị gì?
• Ngoài 50 ra ít, loãng là thiếu gì?
• Về hưu tự nhiên hết hứng, tại sao?</t>
        </is>
      </c>
      <c r="E28" s="5" t="inlineStr">
        <is>
          <t>4. Viên Thận Botamax
1. Kẽm DSD Multi Ginseng B+ Plus 150mg (60 viên)
5. Kẽm ADA 150mg
3. Vương Bảo Thái Minh (tiền liệt tuyến)
2. Viên Bổ Thận DSD Sâm Nhung</t>
        </is>
      </c>
      <c r="F28" s="14">
        <f>LO_TRINH!D15</f>
        <v/>
      </c>
      <c r="G28" s="7" t="n"/>
    </row>
    <row r="29" ht="80" customHeight="1">
      <c r="A29" s="24" t="inlineStr">
        <is>
          <t>T2</t>
        </is>
      </c>
      <c r="B29" s="4" t="inlineStr">
        <is>
          <t>Chuyện vợ chồng</t>
        </is>
      </c>
      <c r="C29" s="5" t="inlineStr">
        <is>
          <t>Vợ mãn kinh, vợ khô, vợ né chồng, hiểu vợ, vệ sinh trước khi gần</t>
        </is>
      </c>
      <c r="D29" s="5" t="inlineStr">
        <is>
          <t>• Vợ mãn kinh né chồng có phải hết thương?
• Vợ nói “em mệt” là thật hay giả?
• Bao lâu không gần nhau là báo động?</t>
        </is>
      </c>
      <c r="E29" s="5" t="inlineStr">
        <is>
          <t>6. Bọt vệ sinh nam Oniiz (combo)
20. Gối massage hồng ngoại Kingtech KP-315
23. Trà mâm xôi sâm tố nữ A Nam
8. Bao cao su Durex Performa</t>
        </is>
      </c>
      <c r="F29" s="14">
        <f>LO_TRINH!E15</f>
        <v/>
      </c>
      <c r="G29" s="7" t="n"/>
    </row>
    <row r="30" ht="80" customHeight="1">
      <c r="A30" s="24" t="inlineStr">
        <is>
          <t>T3</t>
        </is>
      </c>
      <c r="B30" s="4" t="inlineStr">
        <is>
          <t>Bệnh nền &amp; chuyện ấy</t>
        </is>
      </c>
      <c r="C30" s="5" t="inlineStr">
        <is>
          <t>Huyết áp, tiểu đường, mỡ máu, đau lưng, mất ngủ, chuột rút ảnh hưởng chuyện vợ chồng</t>
        </is>
      </c>
      <c r="D30" s="5" t="inlineStr">
        <is>
          <t>• Uống thuốc huyết áp có làm yếu chuyện ấy?
• Đau lưng thoát vị có nên gần vợ?
• Đêm chuột rút bắp chân là thiếu gì?</t>
        </is>
      </c>
      <c r="E30" s="5" t="inlineStr">
        <is>
          <t>11. Máy đo huyết áp Omron HEM-7180
19. Đai lưng tự nóng Kazumi
12. Máy đo huyết áp AICARE X1 có giọng nói
13. Viên dây thìa canh Diabetna (tiểu đường)
15. Viên magie hữu cơ + B6
14. Miếng dán chân Ông Lão Bắc Kinh
9. Gel xoa bóp xương khớp Phục Thể An (Musecos)
10. Linh Chi Thiên Ma Thấu Cốt Hoàn</t>
        </is>
      </c>
      <c r="F30" s="14">
        <f>LO_TRINH!F15</f>
        <v/>
      </c>
      <c r="G30" s="7" t="n"/>
    </row>
    <row r="31" ht="80" customHeight="1">
      <c r="A31" s="24" t="inlineStr">
        <is>
          <t>T4</t>
        </is>
      </c>
      <c r="B31" s="4" t="inlineStr">
        <is>
          <t>Phong độ bề ngoài</t>
        </is>
      </c>
      <c r="C31" s="5" t="inlineStr">
        <is>
          <t>Tóc bạc, vợ chê già, mùi – ngứa vùng kín, đồ lót, tài xế ngồi nhiều</t>
        </is>
      </c>
      <c r="D31" s="5" t="inlineStr">
        <is>
          <t>• Tóc bạc trắng, vợ chê già?
• Ngứa, mùi vùng kín đàn ông do đâu?
• Mặc quần lót chật ảnh hưởng gì?</t>
        </is>
      </c>
      <c r="E31" s="5" t="inlineStr">
        <is>
          <t>18. Quần boxer nam thông hơi Natural Breath (combo 3)
16. Dầu gội phủ bạc Nezha 400ml
17. Dầu gội phủ bạc thảo dược Kim Thảo (nâu coffee)
6. Bọt vệ sinh nam Oniiz (combo)</t>
        </is>
      </c>
      <c r="F31" s="14">
        <f>LO_TRINH!G15</f>
        <v/>
      </c>
      <c r="G31" s="7" t="n"/>
    </row>
    <row r="32" ht="80" customHeight="1">
      <c r="A32" s="24" t="inlineStr">
        <is>
          <t>T5</t>
        </is>
      </c>
      <c r="B32" s="4" t="inlineStr">
        <is>
          <t>Sống khỏe tuổi 50+</t>
        </is>
      </c>
      <c r="C32" s="5" t="inlineStr">
        <is>
          <t>Mỏi lưng, cổ vai gáy, móng chân, quà cho vợ, quà Tết cho ba</t>
        </is>
      </c>
      <c r="D32" s="5" t="inlineStr">
        <is>
          <t>• Mỏi lưng mùa lạnh làm sao cho đỡ?
• Móng chân dày, quặp cắt sao khỏi đau?
• Quà Tết cho ba: đừng mua rượu</t>
        </is>
      </c>
      <c r="E32" s="5" t="inlineStr">
        <is>
          <t>20. Gối massage hồng ngoại Kingtech KP-315
19. Đai lưng tự nóng Kazumi
21. Máy massage cầm tay mini
22. Kềm cắt móng Kềm Nghĩa M.401</t>
        </is>
      </c>
      <c r="F32" s="14">
        <f>LO_TRINH!H15</f>
        <v/>
      </c>
      <c r="G32" s="7" t="n"/>
    </row>
    <row r="33">
      <c r="E33" s="4" t="inlineStr">
        <is>
          <t>Tổng</t>
        </is>
      </c>
      <c r="F33" s="24">
        <f>SUM(F28:F32)</f>
        <v/>
      </c>
    </row>
  </sheetData>
  <mergeCells count="16">
    <mergeCell ref="C7:G7"/>
    <mergeCell ref="C21:G21"/>
    <mergeCell ref="C20:G20"/>
    <mergeCell ref="C6:G6"/>
    <mergeCell ref="C10:G10"/>
    <mergeCell ref="C16:G16"/>
    <mergeCell ref="C24:G24"/>
    <mergeCell ref="C15:G15"/>
    <mergeCell ref="C11:G11"/>
    <mergeCell ref="C5:G5"/>
    <mergeCell ref="C14:G14"/>
    <mergeCell ref="C23:G23"/>
    <mergeCell ref="C22:G22"/>
    <mergeCell ref="C8:G8"/>
    <mergeCell ref="C9:G9"/>
    <mergeCell ref="C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2" customWidth="1" min="3" max="3"/>
    <col width="8" customWidth="1" min="4" max="4"/>
    <col width="8" customWidth="1" min="5" max="5"/>
    <col width="8" customWidth="1" min="6" max="6"/>
    <col width="8" customWidth="1" min="7" max="7"/>
    <col width="8" customWidth="1" min="8" max="8"/>
    <col width="11" customWidth="1" min="9" max="9"/>
    <col width="12" customWidth="1" min="10" max="10"/>
    <col width="50" customWidth="1" min="11" max="11"/>
  </cols>
  <sheetData>
    <row r="1">
      <c r="A1" s="1" t="inlineStr">
        <is>
          <t>LỘ TRÌNH 12 TUẦN – VIDEO/NGÀY THEO TRỤ CỘT</t>
        </is>
      </c>
    </row>
    <row r="2">
      <c r="A2" s="2" t="inlineStr">
        <is>
          <t>Ô xanh dương = số video/ngày của từng trụ cột, chỉnh được. THEO_DOI_NGAY, DU_BAO, KENH tự lấy số từ bảng này.</t>
        </is>
      </c>
    </row>
    <row r="3" ht="30" customHeight="1">
      <c r="A3" s="13" t="inlineStr">
        <is>
          <t>Tuần</t>
        </is>
      </c>
      <c r="B3" s="13" t="inlineStr">
        <is>
          <t>Từ ngày</t>
        </is>
      </c>
      <c r="C3" s="13" t="inlineStr">
        <is>
          <t>Đến ngày</t>
        </is>
      </c>
      <c r="D3" s="13" t="inlineStr">
        <is>
          <t>T1</t>
        </is>
      </c>
      <c r="E3" s="13" t="inlineStr">
        <is>
          <t>T2</t>
        </is>
      </c>
      <c r="F3" s="13" t="inlineStr">
        <is>
          <t>T3</t>
        </is>
      </c>
      <c r="G3" s="13" t="inlineStr">
        <is>
          <t>T4</t>
        </is>
      </c>
      <c r="H3" s="13" t="inlineStr">
        <is>
          <t>T5</t>
        </is>
      </c>
      <c r="I3" s="13" t="inlineStr">
        <is>
          <t>Tổng/ngày</t>
        </is>
      </c>
      <c r="J3" s="13" t="inlineStr">
        <is>
          <t>Tổng/tuần</t>
        </is>
      </c>
      <c r="K3" s="13" t="inlineStr">
        <is>
          <t>Mốc / sự kiện</t>
        </is>
      </c>
    </row>
    <row r="4">
      <c r="A4" s="24" t="n">
        <v>1</v>
      </c>
      <c r="B4" s="25" t="n">
        <v>46314</v>
      </c>
      <c r="C4" s="25">
        <f>B4+6</f>
        <v/>
      </c>
      <c r="D4" s="26" t="n">
        <v>2</v>
      </c>
      <c r="E4" s="26" t="n">
        <v>1</v>
      </c>
      <c r="F4" s="26" t="n">
        <v>1</v>
      </c>
      <c r="G4" s="26" t="n">
        <v>1</v>
      </c>
      <c r="H4" s="26" t="n">
        <v>0</v>
      </c>
      <c r="I4" s="24">
        <f>SUM(D4:H4)</f>
        <v/>
      </c>
      <c r="J4" s="12">
        <f>I4*7</f>
        <v/>
      </c>
      <c r="K4" s="5" t="inlineStr">
        <is>
          <t>Chạy lại nhịp đăng bằng Postiz · 20/10 Ngày Phụ nữ VN: quà cho vợ</t>
        </is>
      </c>
    </row>
    <row r="5">
      <c r="A5" s="24" t="n">
        <v>2</v>
      </c>
      <c r="B5" s="25" t="n">
        <v>46321</v>
      </c>
      <c r="C5" s="25">
        <f>B5+6</f>
        <v/>
      </c>
      <c r="D5" s="26" t="n">
        <v>2</v>
      </c>
      <c r="E5" s="26" t="n">
        <v>1</v>
      </c>
      <c r="F5" s="26" t="n">
        <v>1</v>
      </c>
      <c r="G5" s="26" t="n">
        <v>1</v>
      </c>
      <c r="H5" s="26" t="n">
        <v>1</v>
      </c>
      <c r="I5" s="24">
        <f>SUM(D5:H5)</f>
        <v/>
      </c>
      <c r="J5" s="12">
        <f>I5*7</f>
        <v/>
      </c>
      <c r="K5" s="5" t="inlineStr">
        <is>
          <t>Đo giữ chân 3 giây và click theo trụ cột</t>
        </is>
      </c>
    </row>
    <row r="6">
      <c r="A6" s="24" t="n">
        <v>3</v>
      </c>
      <c r="B6" s="25" t="n">
        <v>46328</v>
      </c>
      <c r="C6" s="25">
        <f>B6+6</f>
        <v/>
      </c>
      <c r="D6" s="26" t="n">
        <v>3</v>
      </c>
      <c r="E6" s="26" t="n">
        <v>1</v>
      </c>
      <c r="F6" s="26" t="n">
        <v>1</v>
      </c>
      <c r="G6" s="26" t="n">
        <v>1</v>
      </c>
      <c r="H6" s="26" t="n">
        <v>1</v>
      </c>
      <c r="I6" s="24">
        <f>SUM(D6:H6)</f>
        <v/>
      </c>
      <c r="J6" s="12">
        <f>I6*7</f>
        <v/>
      </c>
      <c r="K6" s="5" t="inlineStr">
        <is>
          <t>Kịch bản sale 11.11</t>
        </is>
      </c>
    </row>
    <row r="7">
      <c r="A7" s="24" t="n">
        <v>4</v>
      </c>
      <c r="B7" s="25" t="n">
        <v>46335</v>
      </c>
      <c r="C7" s="25">
        <f>B7+6</f>
        <v/>
      </c>
      <c r="D7" s="26" t="n">
        <v>3</v>
      </c>
      <c r="E7" s="26" t="n">
        <v>2</v>
      </c>
      <c r="F7" s="26" t="n">
        <v>1</v>
      </c>
      <c r="G7" s="26" t="n">
        <v>1</v>
      </c>
      <c r="H7" s="26" t="n">
        <v>1</v>
      </c>
      <c r="I7" s="24">
        <f>SUM(D7:H7)</f>
        <v/>
      </c>
      <c r="J7" s="12">
        <f>I7*7</f>
        <v/>
      </c>
      <c r="K7" s="5" t="inlineStr">
        <is>
          <t>11.11 (thứ Tư) · ĐỦ 8 video/ngày</t>
        </is>
      </c>
    </row>
    <row r="8">
      <c r="A8" s="24" t="n">
        <v>5</v>
      </c>
      <c r="B8" s="25" t="n">
        <v>46342</v>
      </c>
      <c r="C8" s="25">
        <f>B8+6</f>
        <v/>
      </c>
      <c r="D8" s="26" t="n">
        <v>3</v>
      </c>
      <c r="E8" s="26" t="n">
        <v>2</v>
      </c>
      <c r="F8" s="26" t="n">
        <v>1</v>
      </c>
      <c r="G8" s="26" t="n">
        <v>1</v>
      </c>
      <c r="H8" s="26" t="n">
        <v>1</v>
      </c>
      <c r="I8" s="24">
        <f>SUM(D8:H8)</f>
        <v/>
      </c>
      <c r="J8" s="12">
        <f>I8*7</f>
        <v/>
      </c>
      <c r="K8" s="5" t="inlineStr">
        <is>
          <t>19/11 Ngày Quốc tế Nam giới · review tháng 1</t>
        </is>
      </c>
    </row>
    <row r="9">
      <c r="A9" s="24" t="n">
        <v>6</v>
      </c>
      <c r="B9" s="25" t="n">
        <v>46349</v>
      </c>
      <c r="C9" s="25">
        <f>B9+6</f>
        <v/>
      </c>
      <c r="D9" s="26" t="n">
        <v>3</v>
      </c>
      <c r="E9" s="26" t="n">
        <v>2</v>
      </c>
      <c r="F9" s="26" t="n">
        <v>1</v>
      </c>
      <c r="G9" s="26" t="n">
        <v>1</v>
      </c>
      <c r="H9" s="26" t="n">
        <v>1</v>
      </c>
      <c r="I9" s="24">
        <f>SUM(D9:H9)</f>
        <v/>
      </c>
      <c r="J9" s="12">
        <f>I9*7</f>
        <v/>
      </c>
      <c r="K9" s="5" t="inlineStr">
        <is>
          <t>Black Friday 27/11: sản phẩm giá cao</t>
        </is>
      </c>
    </row>
    <row r="10">
      <c r="A10" s="24" t="n">
        <v>7</v>
      </c>
      <c r="B10" s="25" t="n">
        <v>46356</v>
      </c>
      <c r="C10" s="25">
        <f>B10+6</f>
        <v/>
      </c>
      <c r="D10" s="26" t="n">
        <v>3</v>
      </c>
      <c r="E10" s="26" t="n">
        <v>2</v>
      </c>
      <c r="F10" s="26" t="n">
        <v>1</v>
      </c>
      <c r="G10" s="26" t="n">
        <v>1</v>
      </c>
      <c r="H10" s="26" t="n">
        <v>1</v>
      </c>
      <c r="I10" s="24">
        <f>SUM(D10:H10)</f>
        <v/>
      </c>
      <c r="J10" s="12">
        <f>I10*7</f>
        <v/>
      </c>
      <c r="K10" s="5" t="inlineStr">
        <is>
          <t>Trời lạnh: tiểu đêm, đau khớp tăng</t>
        </is>
      </c>
    </row>
    <row r="11">
      <c r="A11" s="24" t="n">
        <v>8</v>
      </c>
      <c r="B11" s="25" t="n">
        <v>46363</v>
      </c>
      <c r="C11" s="25">
        <f>B11+6</f>
        <v/>
      </c>
      <c r="D11" s="26" t="n">
        <v>3</v>
      </c>
      <c r="E11" s="26" t="n">
        <v>2</v>
      </c>
      <c r="F11" s="26" t="n">
        <v>1</v>
      </c>
      <c r="G11" s="26" t="n">
        <v>1</v>
      </c>
      <c r="H11" s="26" t="n">
        <v>1</v>
      </c>
      <c r="I11" s="24">
        <f>SUM(D11:H11)</f>
        <v/>
      </c>
      <c r="J11" s="12">
        <f>I11*7</f>
        <v/>
      </c>
      <c r="K11" s="5" t="inlineStr">
        <is>
          <t>12.12 (thứ Bảy)</t>
        </is>
      </c>
    </row>
    <row r="12">
      <c r="A12" s="24" t="n">
        <v>9</v>
      </c>
      <c r="B12" s="25" t="n">
        <v>46370</v>
      </c>
      <c r="C12" s="25">
        <f>B12+6</f>
        <v/>
      </c>
      <c r="D12" s="26" t="n">
        <v>3</v>
      </c>
      <c r="E12" s="26" t="n">
        <v>2</v>
      </c>
      <c r="F12" s="26" t="n">
        <v>1</v>
      </c>
      <c r="G12" s="26" t="n">
        <v>1</v>
      </c>
      <c r="H12" s="26" t="n">
        <v>1</v>
      </c>
      <c r="I12" s="24">
        <f>SUM(D12:H12)</f>
        <v/>
      </c>
      <c r="J12" s="12">
        <f>I12*7</f>
        <v/>
      </c>
      <c r="K12" s="5" t="inlineStr">
        <is>
          <t>Tất niên, nhậu nhiều: kẽm, bổ thận</t>
        </is>
      </c>
    </row>
    <row r="13">
      <c r="A13" s="24" t="n">
        <v>10</v>
      </c>
      <c r="B13" s="25" t="n">
        <v>46377</v>
      </c>
      <c r="C13" s="25">
        <f>B13+6</f>
        <v/>
      </c>
      <c r="D13" s="26" t="n">
        <v>3</v>
      </c>
      <c r="E13" s="26" t="n">
        <v>2</v>
      </c>
      <c r="F13" s="26" t="n">
        <v>1</v>
      </c>
      <c r="G13" s="26" t="n">
        <v>1</v>
      </c>
      <c r="H13" s="26" t="n">
        <v>1</v>
      </c>
      <c r="I13" s="24">
        <f>SUM(D13:H13)</f>
        <v/>
      </c>
      <c r="J13" s="12">
        <f>I13*7</f>
        <v/>
      </c>
      <c r="K13" s="5" t="inlineStr">
        <is>
          <t>Noel 24–25/12</t>
        </is>
      </c>
    </row>
    <row r="14">
      <c r="A14" s="24" t="n">
        <v>11</v>
      </c>
      <c r="B14" s="25" t="n">
        <v>46384</v>
      </c>
      <c r="C14" s="25">
        <f>B14+6</f>
        <v/>
      </c>
      <c r="D14" s="26" t="n">
        <v>3</v>
      </c>
      <c r="E14" s="26" t="n">
        <v>2</v>
      </c>
      <c r="F14" s="26" t="n">
        <v>1</v>
      </c>
      <c r="G14" s="26" t="n">
        <v>1</v>
      </c>
      <c r="H14" s="26" t="n">
        <v>1</v>
      </c>
      <c r="I14" s="24">
        <f>SUM(D14:H14)</f>
        <v/>
      </c>
      <c r="J14" s="12">
        <f>I14*7</f>
        <v/>
      </c>
      <c r="K14" s="5" t="inlineStr">
        <is>
          <t>Tết Dương lịch · lên kịch bản Tết</t>
        </is>
      </c>
    </row>
    <row r="15">
      <c r="A15" s="24" t="n">
        <v>12</v>
      </c>
      <c r="B15" s="25" t="n">
        <v>46391</v>
      </c>
      <c r="C15" s="25">
        <f>B15+6</f>
        <v/>
      </c>
      <c r="D15" s="26" t="n">
        <v>3</v>
      </c>
      <c r="E15" s="26" t="n">
        <v>2</v>
      </c>
      <c r="F15" s="26" t="n">
        <v>1</v>
      </c>
      <c r="G15" s="26" t="n">
        <v>1</v>
      </c>
      <c r="H15" s="26" t="n">
        <v>1</v>
      </c>
      <c r="I15" s="24">
        <f>SUM(D15:H15)</f>
        <v/>
      </c>
      <c r="J15" s="12">
        <f>I15*7</f>
        <v/>
      </c>
      <c r="K15" s="5" t="inlineStr">
        <is>
          <t>Review quý · quà Tết cho ba, phủ bạc đón Tết</t>
        </is>
      </c>
    </row>
    <row r="16">
      <c r="A16" s="4" t="inlineStr">
        <is>
          <t>Tổng 12 tuần</t>
        </is>
      </c>
      <c r="J16" s="27">
        <f>SUM(J4:J15)</f>
        <v/>
      </c>
    </row>
    <row r="17">
      <c r="A17" s="28" t="inlineStr">
        <is>
          <t>T1 Phong độ &amp; tiết niệu · T2 Chuyện vợ chồng · T3 Bệnh nền &amp; chuyện ấy · T4 Phong độ bề ngoài · T5 Sống khỏe tuổi 50+</t>
        </is>
      </c>
      <c r="B17" s="21" t="n"/>
      <c r="C17" s="21" t="n"/>
      <c r="D17" s="21" t="n"/>
      <c r="E17" s="21" t="n"/>
      <c r="F17" s="21" t="n"/>
      <c r="G17" s="21" t="n"/>
      <c r="H17" s="21" t="n"/>
      <c r="I17" s="21" t="n"/>
      <c r="J17" s="21" t="n"/>
      <c r="K17" s="22" t="n"/>
    </row>
    <row r="19">
      <c r="A19" s="3" t="inlineStr">
        <is>
          <t>Các giai đoạn và điều kiện qua cửa</t>
        </is>
      </c>
    </row>
    <row r="20" ht="30" customHeight="1">
      <c r="A20" s="13" t="inlineStr">
        <is>
          <t>Giai đoạn</t>
        </is>
      </c>
      <c r="B20" s="22" t="n"/>
      <c r="C20" s="13" t="inlineStr">
        <is>
          <t>Thời gian</t>
        </is>
      </c>
      <c r="D20" s="21" t="n"/>
      <c r="E20" s="22" t="n"/>
      <c r="F20" s="13" t="inlineStr">
        <is>
          <t>Mục tiêu</t>
        </is>
      </c>
      <c r="G20" s="21" t="n"/>
      <c r="H20" s="21" t="n"/>
      <c r="I20" s="21" t="n"/>
      <c r="J20" s="22" t="n"/>
      <c r="K20" s="13" t="inlineStr">
        <is>
          <t>Điều kiện để sang giai đoạn sau</t>
        </is>
      </c>
    </row>
    <row r="21" ht="45" customHeight="1">
      <c r="A21" s="4" t="inlineStr">
        <is>
          <t>Giai đoạn 0 – Dựng nền móng</t>
        </is>
      </c>
      <c r="C21" s="5" t="inlineStr">
        <is>
          <t>16/10 – 18/10</t>
        </is>
      </c>
      <c r="F21" s="5" t="inlineStr">
        <is>
          <t>Link Shopee sạch kèm Sub_id, script Postiz cho page, khuôn prompt hỏi đáp gắn sản phẩm + review, đệm 2 ngày video</t>
        </is>
      </c>
      <c r="K21" s="5" t="inlineStr">
        <is>
          <t>Chạy thử trọn 1 video hỏi đáp gắn SP và 1 video review: Viral Studio → QC → Postiz → link ở bình luận gốc</t>
        </is>
      </c>
    </row>
    <row r="22" ht="45" customHeight="1">
      <c r="A22" s="4" t="inlineStr">
        <is>
          <t>Giai đoạn 1 – Chạy lại nhịp đăng</t>
        </is>
      </c>
      <c r="C22" s="5" t="inlineStr">
        <is>
          <t>19/10 – 01/11 (tuần 1–2)</t>
        </is>
      </c>
      <c r="F22" s="5" t="inlineStr">
        <is>
          <t>5–6 video/ngày đúng giờ. Đo giữ chân 3 giây, click link, đơn theo Sub_id từng video</t>
        </is>
      </c>
      <c r="K22" s="5" t="inlineStr">
        <is>
          <t>Page không bị cảnh báo hay hạn chế · QC đạt ≥ 90% · đăng đúng lịch ≥ 90%</t>
        </is>
      </c>
    </row>
    <row r="23" ht="45" customHeight="1">
      <c r="A23" s="4" t="inlineStr">
        <is>
          <t>Giai đoạn 2 – Đủ 8 video/ngày</t>
        </is>
      </c>
      <c r="C23" s="5" t="inlineStr">
        <is>
          <t>02/11 – 15/11 (tuần 3–4)</t>
        </is>
      </c>
      <c r="F23" s="5" t="inlineStr">
        <is>
          <t>Lên 7 rồi 8 video/ngày. Chạy chiến dịch 11.11</t>
        </is>
      </c>
      <c r="K23" s="5" t="inlineStr">
        <is>
          <t>Có đơn đầu tiên qua Sub_id · đệm video ≥ 2 ngày</t>
        </is>
      </c>
    </row>
    <row r="24" ht="45" customHeight="1">
      <c r="A24" s="4" t="inlineStr">
        <is>
          <t>Giai đoạn 3 – Tối ưu</t>
        </is>
      </c>
      <c r="C24" s="5" t="inlineStr">
        <is>
          <t>16/11 – 29/11 (tuần 5–6)</t>
        </is>
      </c>
      <c r="F24" s="5" t="inlineStr">
        <is>
          <t>Nhân bản top 3 video/tuần. Ngày Quốc tế Nam giới 19/11, Black Friday 27/11</t>
        </is>
      </c>
      <c r="K24" s="5" t="inlineStr">
        <is>
          <t>Biết trụ cột và sản phẩm nào ra đơn; cắt sản phẩm hạng C không đơn</t>
        </is>
      </c>
    </row>
    <row r="25" ht="45" customHeight="1">
      <c r="A25" s="4" t="inlineStr">
        <is>
          <t>Giai đoạn 4 – Mùa cuối năm &amp; Tết</t>
        </is>
      </c>
      <c r="C25" s="5" t="inlineStr">
        <is>
          <t>30/11 – 10/01 (tuần 7–12)</t>
        </is>
      </c>
      <c r="F25" s="5" t="inlineStr">
        <is>
          <t>12.12, Noel, tất niên, chuẩn bị Tết 2027 (06/02): quà Tết cho ba, phủ bạc tóc</t>
        </is>
      </c>
      <c r="K25" s="5" t="inlineStr">
        <is>
          <t>Review quý: đủ số liệu thì cân nhắc mở kênh thứ hai cho cùng tệp (ví dụ page Ông Giang Sức Khỏe)</t>
        </is>
      </c>
    </row>
  </sheetData>
  <mergeCells count="19">
    <mergeCell ref="A24:B24"/>
    <mergeCell ref="C22:E22"/>
    <mergeCell ref="F25:J25"/>
    <mergeCell ref="C21:E21"/>
    <mergeCell ref="F21:J21"/>
    <mergeCell ref="A25:B25"/>
    <mergeCell ref="F24:J24"/>
    <mergeCell ref="F20:J20"/>
    <mergeCell ref="C23:E23"/>
    <mergeCell ref="A21:B21"/>
    <mergeCell ref="F23:J23"/>
    <mergeCell ref="A23:B23"/>
    <mergeCell ref="F22:J22"/>
    <mergeCell ref="A17:K17"/>
    <mergeCell ref="A22:B22"/>
    <mergeCell ref="C24:E24"/>
    <mergeCell ref="A20:B20"/>
    <mergeCell ref="C20:E20"/>
    <mergeCell ref="C25:E25"/>
  </mergeCells>
  <conditionalFormatting sqref="D4:H15">
    <cfRule type="cellIs" priority="1" operator="equal" dxfId="1">
      <formula>0</formula>
    </cfRule>
  </conditionalFormatting>
  <conditionalFormatting sqref="I4:I15">
    <cfRule type="cellIs" priority="2" operator="greaterThanOrEqual" dxfId="2">
      <formula>8</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22" customWidth="1" min="3" max="3"/>
    <col width="16" customWidth="1" min="4" max="4"/>
    <col width="50" customWidth="1" min="5" max="5"/>
    <col width="32" customWidth="1" min="6" max="6"/>
    <col width="34" customWidth="1" min="7" max="7"/>
    <col width="36" customWidth="1" min="8" max="8"/>
    <col width="10" customWidth="1" min="9" max="9"/>
  </cols>
  <sheetData>
    <row r="1">
      <c r="A1" s="1" t="inlineStr">
        <is>
          <t>NHÂN SỰ &amp; PHÂN VAI</t>
        </is>
      </c>
    </row>
    <row r="2">
      <c r="A2" s="2" t="inlineStr">
        <is>
          <t>Số người cần tự tính theo công suất (ô xanh dương). Điền tên người vào cột “Họ tên”.</t>
        </is>
      </c>
    </row>
    <row r="3">
      <c r="A3" s="3" t="inlineStr">
        <is>
          <t>Thông số công suất</t>
        </is>
      </c>
    </row>
    <row r="4">
      <c r="A4" s="4" t="inlineStr">
        <is>
          <t>Video mục tiêu/ngày (lấy từ LO_TRINH)</t>
        </is>
      </c>
      <c r="B4" s="29">
        <f>MAX(LO_TRINH!I4:I15)</f>
        <v/>
      </c>
    </row>
    <row r="5">
      <c r="A5" s="4" t="inlineStr">
        <is>
          <t>Prompt 1 biên kịch viết/ngày</t>
        </is>
      </c>
      <c r="B5" s="30" t="n">
        <v>15</v>
      </c>
    </row>
    <row r="6">
      <c r="A6" s="4" t="inlineStr">
        <is>
          <t>Video 1 người sản xuất/ngày</t>
        </is>
      </c>
      <c r="B6" s="30" t="n">
        <v>10</v>
      </c>
    </row>
    <row r="7">
      <c r="A7" s="4" t="inlineStr">
        <is>
          <t>Bài 1 người QC &amp; đăng/ngày</t>
        </is>
      </c>
      <c r="B7" s="30" t="n">
        <v>40</v>
      </c>
    </row>
    <row r="10" ht="30" customHeight="1">
      <c r="A10" s="13" t="inlineStr">
        <is>
          <t>Vai trò</t>
        </is>
      </c>
      <c r="B10" s="13" t="inlineStr">
        <is>
          <t>Số người cần</t>
        </is>
      </c>
      <c r="C10" s="13" t="inlineStr">
        <is>
          <t>Họ tên (điền)</t>
        </is>
      </c>
      <c r="D10" s="13" t="inlineStr">
        <is>
          <t>Kiêm vai</t>
        </is>
      </c>
      <c r="E10" s="13" t="inlineStr">
        <is>
          <t>Trách nhiệm chính</t>
        </is>
      </c>
      <c r="F10" s="13" t="inlineStr">
        <is>
          <t>Đầu ra mỗi ngày</t>
        </is>
      </c>
      <c r="G10" s="13" t="inlineStr">
        <is>
          <t>KPI</t>
        </is>
      </c>
      <c r="H10" s="13" t="inlineStr">
        <is>
          <t>Công cụ / skill</t>
        </is>
      </c>
      <c r="I10" s="13" t="inlineStr">
        <is>
          <t>Báo cáo cho</t>
        </is>
      </c>
    </row>
    <row r="11" ht="62" customHeight="1">
      <c r="A11" s="4" t="inlineStr">
        <is>
          <t>R1 · Điều phối kiêm trưởng nội dung</t>
        </is>
      </c>
      <c r="B11" s="30" t="n">
        <v>1</v>
      </c>
      <c r="C11" s="7" t="n"/>
      <c r="D11" s="7" t="n"/>
      <c r="E11" s="5" t="inlineStr">
        <is>
          <t>Chọn chủ đề tuần, duyệt prompt trong 4 giờ, giữ giọng Chị Giang và luật xưng hô, bảng từ cấm, quyết định nhân bản hay cắt sản phẩm</t>
        </is>
      </c>
      <c r="F11" s="5" t="inlineStr">
        <is>
          <t>Duyệt 8–12 prompt/ngày; 56 ý tưởng/tuần vào KHO_KICH_BAN</t>
        </is>
      </c>
      <c r="G11" s="5" t="inlineStr">
        <is>
          <t>Hoa hồng/tuần · giữ chân 3 giây ≥ 30% · prompt đạt ngay lần đầu ≥ 80%</t>
        </is>
      </c>
      <c r="H11" s="5" t="inlineStr">
        <is>
          <t>File vận hành này, báo cáo Shopee affiliate, FB Insights</t>
        </is>
      </c>
      <c r="I11" s="5" t="inlineStr">
        <is>
          <t>—</t>
        </is>
      </c>
    </row>
    <row r="12" ht="62" customHeight="1">
      <c r="A12" s="4" t="inlineStr">
        <is>
          <t>R2 · Biên kịch – master prompt</t>
        </is>
      </c>
      <c r="B12" s="31">
        <f>ROUNDUP($B$4/$B$5,0)</f>
        <v/>
      </c>
      <c r="C12" s="7" t="n"/>
      <c r="D12" s="7" t="n"/>
      <c r="E12" s="5" t="inlineStr">
        <is>
          <t>Viết master prompt theo khuôn “Chị ơi, cho em hỏi thầm” (70s/7 shot) hoặc review (50s/5 shot), trước ngày đăng 2 ngày; sản phẩm nhắc đúng 1 lần</t>
        </is>
      </c>
      <c r="F12" s="5" t="inlineStr">
        <is>
          <t>15 prompt/người/ngày</t>
        </is>
      </c>
      <c r="G12" s="5" t="inlineStr">
        <is>
          <t>Prompt đạt duyệt/ngày · tỷ lệ phải sửa</t>
        </is>
      </c>
      <c r="H12" s="5" t="inlineStr">
        <is>
          <t>Skill master-prompt, chi-giang-loat-2/_tao-prompt-*.py, chi-giang-review-san-pham</t>
        </is>
      </c>
      <c r="I12" s="5" t="inlineStr">
        <is>
          <t>R1</t>
        </is>
      </c>
    </row>
    <row r="13" ht="62" customHeight="1">
      <c r="A13" s="4" t="inlineStr">
        <is>
          <t>R3 · Sản xuất video (Viral Studio)</t>
        </is>
      </c>
      <c r="B13" s="31">
        <f>ROUNDUP($B$4/$B$6,0)</f>
        <v/>
      </c>
      <c r="C13" s="7" t="n"/>
      <c r="D13" s="7" t="n"/>
      <c r="E13" s="5" t="inlineStr">
        <is>
          <t>Xếp hàng studio_create (nguyên văn master prompt + ảnh nhân vật), soát mặt nhân vật từng shot, tạo lại shot lỗi, xuất MP4 9:16, đặt tên đúng quy tắc</t>
        </is>
      </c>
      <c r="F13" s="5" t="inlineStr">
        <is>
          <t>10 video đạt QC/người/ngày</t>
        </is>
      </c>
      <c r="G13" s="5" t="inlineStr">
        <is>
          <t>Video đạt QC/ngày · tỷ lệ phải làm lại ≤ 10%</t>
        </is>
      </c>
      <c r="H13" s="5" t="inlineStr">
        <is>
          <t>Skill viral-studio-tao-video, viral-studio-theo-doi</t>
        </is>
      </c>
      <c r="I13" s="5" t="inlineStr">
        <is>
          <t>R1</t>
        </is>
      </c>
    </row>
    <row r="14" ht="62" customHeight="1">
      <c r="A14" s="4" t="inlineStr">
        <is>
          <t>R4 · Đăng bài, cộng đồng &amp; dữ liệu</t>
        </is>
      </c>
      <c r="B14" s="31">
        <f>ROUNDUP($B$4/$B$7,0)</f>
        <v/>
      </c>
      <c r="C14" s="7" t="n"/>
      <c r="D14" s="7" t="n"/>
      <c r="E14" s="5" t="inlineStr">
        <is>
          <t>QC 10 điểm, lên lịch Postiz 8 khung giờ, link kèm Sub_id ở bình luận gốc, trực bình luận/inbox, kiểm tra link thứ Hai, nhập số liệu ngày</t>
        </is>
      </c>
      <c r="F14" s="5" t="inlineStr">
        <is>
          <t>8 bài/ngày đúng giờ, đúng link; số liệu trước 10:00</t>
        </is>
      </c>
      <c r="G14" s="5" t="inlineStr">
        <is>
          <t>Đúng lịch 100% · 0 bài sai link · phản hồi bình luận trong 12 giờ</t>
        </is>
      </c>
      <c r="H14" s="5" t="inlineStr">
        <is>
          <t>Postiz (mlabai.uk), Shopee affiliate, Meta Business Suite, PostForge</t>
        </is>
      </c>
      <c r="I14" s="5" t="inlineStr">
        <is>
          <t>R1</t>
        </is>
      </c>
    </row>
    <row r="15">
      <c r="A15" s="17" t="inlineStr">
        <is>
          <t>TỔNG NHÂN SỰ KHI ĐỦ 8 VIDEO/NGÀY</t>
        </is>
      </c>
      <c r="B15" s="32">
        <f>SUM(B11:B14)</f>
        <v/>
      </c>
    </row>
    <row r="16" ht="30" customHeight="1">
      <c r="A16" s="28" t="inlineStr">
        <is>
          <t>Gợi ý giai đoạn 1 (5–6 video/ngày): 2 người – người 1 kiêm R1 + R2 (chọn chủ đề, viết và duyệt prompt); người 2 kiêm R3 + R4 (Viral Studio, QC, đăng, bình luận, số liệu). Tăng người khi view thực tế vượt ngưỡng hòa vốn ở DU_BAO.</t>
        </is>
      </c>
      <c r="B16" s="21" t="n"/>
      <c r="C16" s="21" t="n"/>
      <c r="D16" s="21" t="n"/>
      <c r="E16" s="21" t="n"/>
      <c r="F16" s="21" t="n"/>
      <c r="G16" s="21" t="n"/>
      <c r="H16" s="21" t="n"/>
      <c r="I16" s="22" t="n"/>
    </row>
  </sheetData>
  <mergeCells count="1">
    <mergeCell ref="A16:I16"/>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64"/>
  <sheetViews>
    <sheetView showGridLines="0" workbookViewId="0">
      <selection activeCell="A1" sqref="A1"/>
    </sheetView>
  </sheetViews>
  <sheetFormatPr baseColWidth="8" defaultRowHeight="15"/>
  <cols>
    <col width="6" customWidth="1" min="1" max="1"/>
    <col width="28" customWidth="1" min="2" max="2"/>
    <col width="18" customWidth="1" min="3" max="3"/>
    <col width="10" customWidth="1" min="4" max="4"/>
    <col width="12" customWidth="1" min="5" max="5"/>
    <col width="36" customWidth="1" min="6" max="6"/>
    <col width="46" customWidth="1" min="7" max="7"/>
    <col width="6" customWidth="1" min="8" max="8"/>
    <col width="6" customWidth="1" min="9" max="9"/>
    <col width="6" customWidth="1" min="10" max="10"/>
  </cols>
  <sheetData>
    <row r="1">
      <c r="A1" s="1" t="inlineStr">
        <is>
          <t>QUY TRÌNH VẬN HÀNH (SOP)</t>
        </is>
      </c>
    </row>
    <row r="2">
      <c r="A2" s="2" t="inlineStr">
        <is>
          <t>10 bước cho một video, từ ý tưởng đến số liệu.</t>
        </is>
      </c>
    </row>
    <row r="4" ht="30" customHeight="1">
      <c r="A4" s="13" t="inlineStr">
        <is>
          <t>Bước</t>
        </is>
      </c>
      <c r="B4" s="13" t="inlineStr">
        <is>
          <t>Việc</t>
        </is>
      </c>
      <c r="C4" s="13" t="inlineStr">
        <is>
          <t>Khi nào</t>
        </is>
      </c>
      <c r="D4" s="13" t="inlineStr">
        <is>
          <t>Làm (R)</t>
        </is>
      </c>
      <c r="E4" s="13" t="inlineStr">
        <is>
          <t>Phối hợp</t>
        </is>
      </c>
      <c r="F4" s="13" t="inlineStr">
        <is>
          <t>Đầu vào</t>
        </is>
      </c>
      <c r="G4" s="13" t="inlineStr">
        <is>
          <t>Đầu ra</t>
        </is>
      </c>
    </row>
    <row r="5" ht="36" customHeight="1">
      <c r="A5" s="23" t="inlineStr">
        <is>
          <t>1</t>
        </is>
      </c>
      <c r="B5" s="4" t="inlineStr">
        <is>
          <t>Lên kho ý tưởng tuần</t>
        </is>
      </c>
      <c r="C5" s="5" t="inlineStr">
        <is>
          <t>Chủ nhật</t>
        </is>
      </c>
      <c r="D5" s="23" t="inlineStr">
        <is>
          <t>R1</t>
        </is>
      </c>
      <c r="E5" s="5" t="inlineStr">
        <is>
          <t>R4</t>
        </is>
      </c>
      <c r="F5" s="5" t="inlineStr">
        <is>
          <t>Bình luận hay, báo cáo đơn theo Sub_id, top video, KaloData</t>
        </is>
      </c>
      <c r="G5" s="5" t="inlineStr">
        <is>
          <t>56 ý tưởng trong KHO_KICH_BAN (trạng thái “Ý tưởng”), đủ 5 trụ cột</t>
        </is>
      </c>
    </row>
    <row r="6" ht="36" customHeight="1">
      <c r="A6" s="23" t="inlineStr">
        <is>
          <t>2</t>
        </is>
      </c>
      <c r="B6" s="4" t="inlineStr">
        <is>
          <t>Viết master prompt</t>
        </is>
      </c>
      <c r="C6" s="5" t="inlineStr">
        <is>
          <t>Trước ngày đăng 2 ngày</t>
        </is>
      </c>
      <c r="D6" s="23" t="inlineStr">
        <is>
          <t>R2</t>
        </is>
      </c>
      <c r="E6" s="5" t="inlineStr">
        <is>
          <t>R1</t>
        </is>
      </c>
      <c r="F6" s="5" t="inlineStr">
        <is>
          <t>Ý tưởng + khuôn hỏi đáp hoặc review + ảnh nhân vật</t>
        </is>
      </c>
      <c r="G6" s="5" t="inlineStr">
        <is>
          <t>File prompt .md, trạng thái “Chờ duyệt”</t>
        </is>
      </c>
    </row>
    <row r="7" ht="36" customHeight="1">
      <c r="A7" s="23" t="inlineStr">
        <is>
          <t>3</t>
        </is>
      </c>
      <c r="B7" s="4" t="inlineStr">
        <is>
          <t>Duyệt prompt</t>
        </is>
      </c>
      <c r="C7" s="5" t="inlineStr">
        <is>
          <t>Trong 4 giờ</t>
        </is>
      </c>
      <c r="D7" s="23" t="inlineStr">
        <is>
          <t>R1</t>
        </is>
      </c>
      <c r="E7" s="5" t="inlineStr">
        <is>
          <t>R2</t>
        </is>
      </c>
      <c r="F7" s="5" t="inlineStr">
        <is>
          <t>Prompt chờ duyệt + bảng từ cấm</t>
        </is>
      </c>
      <c r="G7" s="5" t="inlineStr">
        <is>
          <t>“Đã duyệt” hoặc “Cần sửa” kèm góp ý</t>
        </is>
      </c>
    </row>
    <row r="8" ht="36" customHeight="1">
      <c r="A8" s="23" t="inlineStr">
        <is>
          <t>4</t>
        </is>
      </c>
      <c r="B8" s="4" t="inlineStr">
        <is>
          <t>Xếp hàng Viral Studio</t>
        </is>
      </c>
      <c r="C8" s="5" t="inlineStr">
        <is>
          <t>Trước ngày đăng 1 ngày</t>
        </is>
      </c>
      <c r="D8" s="23" t="inlineStr">
        <is>
          <t>R3</t>
        </is>
      </c>
      <c r="E8" s="5" t="inlineStr">
        <is>
          <t>R1</t>
        </is>
      </c>
      <c r="F8" s="5" t="inlineStr">
        <is>
          <t>Prompt đã duyệt, nhan-vat-chi.png</t>
        </is>
      </c>
      <c r="G8" s="5" t="inlineStr">
        <is>
          <t>studio_create; trạng thái “Đang sản xuất”</t>
        </is>
      </c>
    </row>
    <row r="9" ht="36" customHeight="1">
      <c r="A9" s="23" t="inlineStr">
        <is>
          <t>5</t>
        </is>
      </c>
      <c r="B9" s="4" t="inlineStr">
        <is>
          <t>Soát shot &amp; xuất video</t>
        </is>
      </c>
      <c r="C9" s="5" t="inlineStr">
        <is>
          <t>Trong ngày</t>
        </is>
      </c>
      <c r="D9" s="23" t="inlineStr">
        <is>
          <t>R3</t>
        </is>
      </c>
      <c r="E9" s="5" t="inlineStr">
        <is>
          <t>R4</t>
        </is>
      </c>
      <c r="F9" s="5" t="inlineStr">
        <is>
          <t>Video Viral Studio</t>
        </is>
      </c>
      <c r="G9" s="5" t="inlineStr">
        <is>
          <t>Làm lại shot lỗi; MP4 1080×1920, trạng thái “QC”</t>
        </is>
      </c>
    </row>
    <row r="10" ht="36" customHeight="1">
      <c r="A10" s="23" t="inlineStr">
        <is>
          <t>6</t>
        </is>
      </c>
      <c r="B10" s="4" t="inlineStr">
        <is>
          <t>Kiểm tra chất lượng (QC)</t>
        </is>
      </c>
      <c r="C10" s="5" t="inlineStr">
        <is>
          <t>Trong ngày sản xuất</t>
        </is>
      </c>
      <c r="D10" s="23" t="inlineStr">
        <is>
          <t>R4</t>
        </is>
      </c>
      <c r="E10" s="5" t="inlineStr">
        <is>
          <t>R1</t>
        </is>
      </c>
      <c r="F10" s="5" t="inlineStr">
        <is>
          <t>Video + checklist 10 điểm</t>
        </is>
      </c>
      <c r="G10" s="5" t="inlineStr">
        <is>
          <t>Đạt → “Sẵn sàng đăng”; lỗi → trả R3</t>
        </is>
      </c>
    </row>
    <row r="11" ht="36" customHeight="1">
      <c r="A11" s="23" t="inlineStr">
        <is>
          <t>7</t>
        </is>
      </c>
      <c r="B11" s="4" t="inlineStr">
        <is>
          <t>Lên lịch đăng</t>
        </is>
      </c>
      <c r="C11" s="5" t="inlineStr">
        <is>
          <t>Trước 17:00 ngày trước</t>
        </is>
      </c>
      <c r="D11" s="23" t="inlineStr">
        <is>
          <t>R4</t>
        </is>
      </c>
      <c r="E11" s="5" t="inlineStr">
        <is>
          <t>R1</t>
        </is>
      </c>
      <c r="F11" s="5" t="inlineStr">
        <is>
          <t>Video sẵn sàng + link kèm Sub_id (cột I của KHO_KICH_BAN)</t>
        </is>
      </c>
      <c r="G11" s="5" t="inlineStr">
        <is>
          <t>Postiz: Reel + link ở bình luận gốc, trạng thái “Đã đăng”</t>
        </is>
      </c>
    </row>
    <row r="12" ht="36" customHeight="1">
      <c r="A12" s="23" t="inlineStr">
        <is>
          <t>8</t>
        </is>
      </c>
      <c r="B12" s="4" t="inlineStr">
        <is>
          <t>Trực bình luận, inbox</t>
        </is>
      </c>
      <c r="C12" s="5" t="inlineStr">
        <is>
          <t>10:00 và 21:00</t>
        </is>
      </c>
      <c r="D12" s="23" t="inlineStr">
        <is>
          <t>R4</t>
        </is>
      </c>
      <c r="E12" s="5" t="inlineStr">
        <is>
          <t>R1</t>
        </is>
      </c>
      <c r="F12" s="5" t="inlineStr">
        <is>
          <t>Bài đã đăng</t>
        </is>
      </c>
      <c r="G12" s="5" t="inlineStr">
        <is>
          <t>Ghim link, trả lời, ẩn bình luận tục, gom câu hỏi</t>
        </is>
      </c>
    </row>
    <row r="13" ht="36" customHeight="1">
      <c r="A13" s="23" t="inlineStr">
        <is>
          <t>9</t>
        </is>
      </c>
      <c r="B13" s="4" t="inlineStr">
        <is>
          <t>Nhập số liệu</t>
        </is>
      </c>
      <c r="C13" s="5" t="inlineStr">
        <is>
          <t>Mỗi ngày trước 10:00</t>
        </is>
      </c>
      <c r="D13" s="23" t="inlineStr">
        <is>
          <t>R4</t>
        </is>
      </c>
      <c r="E13" s="5" t="inlineStr">
        <is>
          <t>R1</t>
        </is>
      </c>
      <c r="F13" s="5" t="inlineStr">
        <is>
          <t>Shopee affiliate (lọc theo Sub_id) + FB Insights</t>
        </is>
      </c>
      <c r="G13" s="5" t="inlineStr">
        <is>
          <t>THEO_DOI_NGAY và cột View/Click/Đơn của KHO_KICH_BAN</t>
        </is>
      </c>
    </row>
    <row r="14" ht="36" customHeight="1">
      <c r="A14" s="23" t="inlineStr">
        <is>
          <t>10</t>
        </is>
      </c>
      <c r="B14" s="4" t="inlineStr">
        <is>
          <t>Review tuần</t>
        </is>
      </c>
      <c r="C14" s="5" t="inlineStr">
        <is>
          <t>Chủ nhật 19:00</t>
        </is>
      </c>
      <c r="D14" s="23" t="inlineStr">
        <is>
          <t>R1</t>
        </is>
      </c>
      <c r="E14" s="5" t="inlineStr">
        <is>
          <t>Cả team</t>
        </is>
      </c>
      <c r="F14" s="5" t="inlineStr">
        <is>
          <t>TONG_QUAN, top 3 video, đơn theo Sub_id</t>
        </is>
      </c>
      <c r="G14" s="5" t="inlineStr">
        <is>
          <t>5 biến thể cho mỗi top video; danh sách cắt/nhân sản phẩm</t>
        </is>
      </c>
    </row>
    <row r="16">
      <c r="A16" s="3" t="inlineStr">
        <is>
          <t>Ma trận trách nhiệm RACI (R = làm, A = chịu trách nhiệm cuối, C = tham vấn, I = được báo)</t>
        </is>
      </c>
    </row>
    <row r="17" ht="30" customHeight="1">
      <c r="A17" s="13" t="inlineStr">
        <is>
          <t>Bước</t>
        </is>
      </c>
      <c r="B17" s="13" t="inlineStr">
        <is>
          <t>Việc</t>
        </is>
      </c>
      <c r="C17" s="13" t="inlineStr">
        <is>
          <t>R1</t>
        </is>
      </c>
      <c r="D17" s="13" t="inlineStr">
        <is>
          <t>R2</t>
        </is>
      </c>
      <c r="E17" s="13" t="inlineStr">
        <is>
          <t>R3</t>
        </is>
      </c>
      <c r="F17" s="13" t="inlineStr">
        <is>
          <t>R4</t>
        </is>
      </c>
    </row>
    <row r="18">
      <c r="A18" s="23" t="inlineStr">
        <is>
          <t>1</t>
        </is>
      </c>
      <c r="B18" s="5" t="inlineStr">
        <is>
          <t>Lên kho ý tưởng tuần</t>
        </is>
      </c>
      <c r="C18" s="33" t="inlineStr">
        <is>
          <t>A</t>
        </is>
      </c>
      <c r="D18" s="34" t="inlineStr">
        <is>
          <t>C</t>
        </is>
      </c>
      <c r="E18" s="24" t="inlineStr"/>
      <c r="F18" s="34" t="inlineStr">
        <is>
          <t>C</t>
        </is>
      </c>
    </row>
    <row r="19">
      <c r="A19" s="23" t="inlineStr">
        <is>
          <t>2</t>
        </is>
      </c>
      <c r="B19" s="5" t="inlineStr">
        <is>
          <t>Viết master prompt</t>
        </is>
      </c>
      <c r="C19" s="33" t="inlineStr">
        <is>
          <t>A</t>
        </is>
      </c>
      <c r="D19" s="35" t="inlineStr">
        <is>
          <t>R</t>
        </is>
      </c>
      <c r="E19" s="24" t="inlineStr"/>
      <c r="F19" s="24" t="inlineStr"/>
    </row>
    <row r="20">
      <c r="A20" s="23" t="inlineStr">
        <is>
          <t>3</t>
        </is>
      </c>
      <c r="B20" s="5" t="inlineStr">
        <is>
          <t>Duyệt prompt</t>
        </is>
      </c>
      <c r="C20" s="35" t="inlineStr">
        <is>
          <t>R</t>
        </is>
      </c>
      <c r="D20" s="36" t="inlineStr">
        <is>
          <t>I</t>
        </is>
      </c>
      <c r="E20" s="24" t="inlineStr"/>
      <c r="F20" s="24" t="inlineStr"/>
    </row>
    <row r="21">
      <c r="A21" s="23" t="inlineStr">
        <is>
          <t>4</t>
        </is>
      </c>
      <c r="B21" s="5" t="inlineStr">
        <is>
          <t>Xếp hàng Viral Studio</t>
        </is>
      </c>
      <c r="C21" s="36" t="inlineStr">
        <is>
          <t>I</t>
        </is>
      </c>
      <c r="D21" s="24" t="inlineStr"/>
      <c r="E21" s="35" t="inlineStr">
        <is>
          <t>R</t>
        </is>
      </c>
      <c r="F21" s="24" t="inlineStr"/>
    </row>
    <row r="22">
      <c r="A22" s="23" t="inlineStr">
        <is>
          <t>5</t>
        </is>
      </c>
      <c r="B22" s="5" t="inlineStr">
        <is>
          <t>Soát shot &amp; xuất video</t>
        </is>
      </c>
      <c r="C22" s="33" t="inlineStr">
        <is>
          <t>A</t>
        </is>
      </c>
      <c r="D22" s="24" t="inlineStr"/>
      <c r="E22" s="35" t="inlineStr">
        <is>
          <t>R</t>
        </is>
      </c>
      <c r="F22" s="36" t="inlineStr">
        <is>
          <t>I</t>
        </is>
      </c>
    </row>
    <row r="23">
      <c r="A23" s="23" t="inlineStr">
        <is>
          <t>6</t>
        </is>
      </c>
      <c r="B23" s="5" t="inlineStr">
        <is>
          <t>Kiểm tra chất lượng (QC)</t>
        </is>
      </c>
      <c r="C23" s="33" t="inlineStr">
        <is>
          <t>A</t>
        </is>
      </c>
      <c r="D23" s="24" t="inlineStr"/>
      <c r="E23" s="36" t="inlineStr">
        <is>
          <t>I</t>
        </is>
      </c>
      <c r="F23" s="35" t="inlineStr">
        <is>
          <t>R</t>
        </is>
      </c>
    </row>
    <row r="24">
      <c r="A24" s="23" t="inlineStr">
        <is>
          <t>7</t>
        </is>
      </c>
      <c r="B24" s="5" t="inlineStr">
        <is>
          <t>Lên lịch đăng</t>
        </is>
      </c>
      <c r="C24" s="36" t="inlineStr">
        <is>
          <t>I</t>
        </is>
      </c>
      <c r="D24" s="24" t="inlineStr"/>
      <c r="E24" s="24" t="inlineStr"/>
      <c r="F24" s="35" t="inlineStr">
        <is>
          <t>R</t>
        </is>
      </c>
    </row>
    <row r="25">
      <c r="A25" s="23" t="inlineStr">
        <is>
          <t>8</t>
        </is>
      </c>
      <c r="B25" s="5" t="inlineStr">
        <is>
          <t>Trực bình luận, inbox</t>
        </is>
      </c>
      <c r="C25" s="36" t="inlineStr">
        <is>
          <t>I</t>
        </is>
      </c>
      <c r="D25" s="24" t="inlineStr"/>
      <c r="E25" s="24" t="inlineStr"/>
      <c r="F25" s="35" t="inlineStr">
        <is>
          <t>R</t>
        </is>
      </c>
    </row>
    <row r="26">
      <c r="A26" s="23" t="inlineStr">
        <is>
          <t>9</t>
        </is>
      </c>
      <c r="B26" s="5" t="inlineStr">
        <is>
          <t>Nhập số liệu</t>
        </is>
      </c>
      <c r="C26" s="36" t="inlineStr">
        <is>
          <t>I</t>
        </is>
      </c>
      <c r="D26" s="24" t="inlineStr"/>
      <c r="E26" s="24" t="inlineStr"/>
      <c r="F26" s="35" t="inlineStr">
        <is>
          <t>R</t>
        </is>
      </c>
    </row>
    <row r="27">
      <c r="A27" s="23" t="inlineStr">
        <is>
          <t>10</t>
        </is>
      </c>
      <c r="B27" s="5" t="inlineStr">
        <is>
          <t>Review tuần</t>
        </is>
      </c>
      <c r="C27" s="33" t="inlineStr">
        <is>
          <t>A</t>
        </is>
      </c>
      <c r="D27" s="34" t="inlineStr">
        <is>
          <t>C</t>
        </is>
      </c>
      <c r="E27" s="34" t="inlineStr">
        <is>
          <t>C</t>
        </is>
      </c>
      <c r="F27" s="35" t="inlineStr">
        <is>
          <t>R</t>
        </is>
      </c>
    </row>
    <row r="28">
      <c r="B28" s="28" t="inlineStr">
        <is>
          <t>R1 Điều phối kiêm trưởng nội dung · R2 Biên kịch – master prompt · R3 Sản xuất video (Viral Studio) · R4 Đăng bài, cộng đồng &amp; dữ liệu</t>
        </is>
      </c>
      <c r="C28" s="21" t="n"/>
      <c r="D28" s="21" t="n"/>
      <c r="E28" s="21" t="n"/>
      <c r="F28" s="21" t="n"/>
      <c r="G28" s="22" t="n"/>
    </row>
    <row r="30">
      <c r="A30" s="3" t="inlineStr">
        <is>
          <t>Checklist QC 10 điểm (đạt hết mới được đăng)</t>
        </is>
      </c>
    </row>
    <row r="31" ht="30" customHeight="1">
      <c r="A31" s="13" t="inlineStr">
        <is>
          <t>#</t>
        </is>
      </c>
      <c r="B31" s="13" t="inlineStr">
        <is>
          <t>Tiêu chí</t>
        </is>
      </c>
      <c r="C31" s="21" t="n"/>
      <c r="D31" s="21" t="n"/>
      <c r="E31" s="21" t="n"/>
      <c r="F31" s="21" t="n"/>
      <c r="G31" s="22" t="n"/>
    </row>
    <row r="32">
      <c r="A32" s="23" t="n">
        <v>1</v>
      </c>
      <c r="B32" s="5" t="inlineStr">
        <is>
          <t>Hook 3 giây: câu hỏi nóng, băng chữ đỏ ghi đúng câu hỏi</t>
        </is>
      </c>
      <c r="C32" s="21" t="n"/>
      <c r="D32" s="21" t="n"/>
      <c r="E32" s="21" t="n"/>
      <c r="F32" s="21" t="n"/>
      <c r="G32" s="22" t="n"/>
    </row>
    <row r="33">
      <c r="A33" s="23" t="n">
        <v>2</v>
      </c>
      <c r="B33" s="5" t="inlineStr">
        <is>
          <t>Gương mặt Chị Giang đúng ảnh chuẩn, đồng nhất mọi shot; trang phục đúng</t>
        </is>
      </c>
      <c r="C33" s="21" t="n"/>
      <c r="D33" s="21" t="n"/>
      <c r="E33" s="21" t="n"/>
      <c r="F33" s="21" t="n"/>
      <c r="G33" s="22" t="n"/>
    </row>
    <row r="34">
      <c r="A34" s="23" t="n">
        <v>3</v>
      </c>
      <c r="B34" s="5" t="inlineStr">
        <is>
          <t>Không xưng hay được gọi bác sĩ, dược sĩ, chuyên gia; không áo blouse, ống nghe</t>
        </is>
      </c>
      <c r="C34" s="21" t="n"/>
      <c r="D34" s="21" t="n"/>
      <c r="E34" s="21" t="n"/>
      <c r="F34" s="21" t="n"/>
      <c r="G34" s="22" t="n"/>
    </row>
    <row r="35">
      <c r="A35" s="23" t="n">
        <v>4</v>
      </c>
      <c r="B35" s="5" t="inlineStr">
        <is>
          <t>Không tục, không tả hành vi chi tiết, không hình gợi dục (kể cả ảnh bìa)</t>
        </is>
      </c>
      <c r="C35" s="21" t="n"/>
      <c r="D35" s="21" t="n"/>
      <c r="E35" s="21" t="n"/>
      <c r="F35" s="21" t="n"/>
      <c r="G35" s="22" t="n"/>
    </row>
    <row r="36">
      <c r="A36" s="23" t="n">
        <v>5</v>
      </c>
      <c r="B36" s="5" t="inlineStr">
        <is>
          <t>Không cam kết y tế: không “chữa”, “trị dứt”, “tăng sinh lý”; thực phẩm chức năng có câu “không phải là thuốc”</t>
        </is>
      </c>
      <c r="C36" s="21" t="n"/>
      <c r="D36" s="21" t="n"/>
      <c r="E36" s="21" t="n"/>
      <c r="F36" s="21" t="n"/>
      <c r="G36" s="22" t="n"/>
    </row>
    <row r="37">
      <c r="A37" s="23" t="n">
        <v>6</v>
      </c>
      <c r="B37" s="5" t="inlineStr">
        <is>
          <t>Sản phẩm nhắc đúng 1 lần (video hỏi đáp), đúng sản phẩm của link sẽ gắn</t>
        </is>
      </c>
      <c r="C37" s="21" t="n"/>
      <c r="D37" s="21" t="n"/>
      <c r="E37" s="21" t="n"/>
      <c r="F37" s="21" t="n"/>
      <c r="G37" s="22" t="n"/>
    </row>
    <row r="38">
      <c r="A38" s="23" t="n">
        <v>7</v>
      </c>
      <c r="B38" s="5" t="inlineStr">
        <is>
          <t>Giọng miền Nam, gọi “anh”, “mấy anh”; nhịp chậm, rõ</t>
        </is>
      </c>
      <c r="C38" s="21" t="n"/>
      <c r="D38" s="21" t="n"/>
      <c r="E38" s="21" t="n"/>
      <c r="F38" s="21" t="n"/>
      <c r="G38" s="22" t="n"/>
    </row>
    <row r="39">
      <c r="A39" s="23" t="n">
        <v>8</v>
      </c>
      <c r="B39" s="5" t="inlineStr">
        <is>
          <t>Tiếng rõ, khớp miệng, không đứt giữa các shot; chữ không sai chính tả</t>
        </is>
      </c>
      <c r="C39" s="21" t="n"/>
      <c r="D39" s="21" t="n"/>
      <c r="E39" s="21" t="n"/>
      <c r="F39" s="21" t="n"/>
      <c r="G39" s="22" t="n"/>
    </row>
    <row r="40">
      <c r="A40" s="23" t="n">
        <v>9</v>
      </c>
      <c r="B40" s="5" t="inlineStr">
        <is>
          <t>Đúng 1080×1920, đúng thời lượng (70s hỏi đáp, 50s review), không đen hình đầu/cuối</t>
        </is>
      </c>
      <c r="C40" s="21" t="n"/>
      <c r="D40" s="21" t="n"/>
      <c r="E40" s="21" t="n"/>
      <c r="F40" s="21" t="n"/>
      <c r="G40" s="22" t="n"/>
    </row>
    <row r="41">
      <c r="A41" s="23" t="n">
        <v>10</v>
      </c>
      <c r="B41" s="5" t="inlineStr">
        <is>
          <t>Bối cảnh khác video hôm trước (không lặp khuôn); tên file đúng quy tắc</t>
        </is>
      </c>
      <c r="C41" s="21" t="n"/>
      <c r="D41" s="21" t="n"/>
      <c r="E41" s="21" t="n"/>
      <c r="F41" s="21" t="n"/>
      <c r="G41" s="22" t="n"/>
    </row>
    <row r="43">
      <c r="A43" s="3" t="inlineStr">
        <is>
          <t>Nhịp làm việc một ngày</t>
        </is>
      </c>
    </row>
    <row r="44" ht="30" customHeight="1">
      <c r="A44" s="13" t="inlineStr">
        <is>
          <t>Giờ</t>
        </is>
      </c>
      <c r="B44" s="13" t="inlineStr">
        <is>
          <t>Việc</t>
        </is>
      </c>
      <c r="C44" s="22" t="n"/>
      <c r="D44" s="13" t="inlineStr">
        <is>
          <t>Ai</t>
        </is>
      </c>
      <c r="E44" s="13" t="inlineStr"/>
      <c r="F44" s="13" t="inlineStr">
        <is>
          <t>Ghi chú</t>
        </is>
      </c>
      <c r="G44" s="13" t="inlineStr"/>
    </row>
    <row r="45">
      <c r="A45" s="4" t="inlineStr">
        <is>
          <t>08:30</t>
        </is>
      </c>
      <c r="B45" s="5" t="inlineStr">
        <is>
          <t>Họp nhanh 10 phút</t>
        </is>
      </c>
      <c r="C45" s="22" t="n"/>
      <c r="D45" s="5" t="inlineStr">
        <is>
          <t>Cả team</t>
        </is>
      </c>
      <c r="F45" s="5" t="inlineStr">
        <is>
          <t>Hôm qua xong gì, hôm nay làm gì, vướng gì</t>
        </is>
      </c>
    </row>
    <row r="46">
      <c r="A46" s="4" t="inlineStr">
        <is>
          <t>09:00 – 11:00</t>
        </is>
      </c>
      <c r="B46" s="5" t="inlineStr">
        <is>
          <t>Viết lô prompt T+2 · xếp hàng Viral Studio lô T+1</t>
        </is>
      </c>
      <c r="C46" s="22" t="n"/>
      <c r="D46" s="5" t="inlineStr">
        <is>
          <t>R2, R3</t>
        </is>
      </c>
      <c r="F46" s="5" t="inlineStr"/>
    </row>
    <row r="47">
      <c r="A47" s="4" t="inlineStr">
        <is>
          <t>10:00</t>
        </is>
      </c>
      <c r="B47" s="5" t="inlineStr">
        <is>
          <t>Nhập số liệu hôm qua · trực bình luận lần 1</t>
        </is>
      </c>
      <c r="C47" s="22" t="n"/>
      <c r="D47" s="5" t="inlineStr">
        <is>
          <t>R4</t>
        </is>
      </c>
      <c r="F47" s="5" t="inlineStr"/>
    </row>
    <row r="48">
      <c r="A48" s="4" t="inlineStr">
        <is>
          <t>11:00 – 11:30</t>
        </is>
      </c>
      <c r="B48" s="5" t="inlineStr">
        <is>
          <t>Duyệt prompt đợt 1</t>
        </is>
      </c>
      <c r="C48" s="22" t="n"/>
      <c r="D48" s="5" t="inlineStr">
        <is>
          <t>R1</t>
        </is>
      </c>
      <c r="F48" s="5" t="inlineStr"/>
    </row>
    <row r="49">
      <c r="A49" s="4" t="inlineStr">
        <is>
          <t>13:30 – 16:00</t>
        </is>
      </c>
      <c r="B49" s="5" t="inlineStr">
        <is>
          <t>Soát shot, xuất video · QC</t>
        </is>
      </c>
      <c r="C49" s="22" t="n"/>
      <c r="D49" s="5" t="inlineStr">
        <is>
          <t>R3, R4</t>
        </is>
      </c>
      <c r="F49" s="5" t="inlineStr"/>
    </row>
    <row r="50">
      <c r="A50" s="4" t="inlineStr">
        <is>
          <t>16:00</t>
        </is>
      </c>
      <c r="B50" s="5" t="inlineStr">
        <is>
          <t>Duyệt prompt đợt 2</t>
        </is>
      </c>
      <c r="C50" s="22" t="n"/>
      <c r="D50" s="5" t="inlineStr">
        <is>
          <t>R1</t>
        </is>
      </c>
      <c r="F50" s="5" t="inlineStr"/>
    </row>
    <row r="51">
      <c r="A51" s="4" t="inlineStr">
        <is>
          <t>17:00</t>
        </is>
      </c>
      <c r="B51" s="5" t="inlineStr">
        <is>
          <t>Chốt lịch đăng ngày mai trên Postiz</t>
        </is>
      </c>
      <c r="C51" s="22" t="n"/>
      <c r="D51" s="5" t="inlineStr">
        <is>
          <t>R4</t>
        </is>
      </c>
      <c r="F51" s="5" t="inlineStr">
        <is>
          <t>Đủ 8 bài, link kèm Sub_id</t>
        </is>
      </c>
    </row>
    <row r="52">
      <c r="A52" s="4" t="inlineStr">
        <is>
          <t>21:00</t>
        </is>
      </c>
      <c r="B52" s="5" t="inlineStr">
        <is>
          <t>Trực bình luận lần 2</t>
        </is>
      </c>
      <c r="C52" s="22" t="n"/>
      <c r="D52" s="5" t="inlineStr">
        <is>
          <t>R4</t>
        </is>
      </c>
      <c r="F52" s="5" t="inlineStr">
        <is>
          <t>Giờ tệp nam 45+ lướt nhiều</t>
        </is>
      </c>
    </row>
    <row r="54">
      <c r="A54" s="3" t="inlineStr">
        <is>
          <t>Họp định kỳ</t>
        </is>
      </c>
    </row>
    <row r="55" ht="30" customHeight="1">
      <c r="A55" s="13" t="inlineStr"/>
      <c r="B55" s="13" t="inlineStr">
        <is>
          <t>Khi nào</t>
        </is>
      </c>
      <c r="C55" s="13" t="inlineStr">
        <is>
          <t>Nội dung</t>
        </is>
      </c>
      <c r="D55" s="13" t="inlineStr"/>
      <c r="E55" s="13" t="inlineStr"/>
      <c r="F55" s="13" t="inlineStr"/>
      <c r="G55" s="13" t="inlineStr">
        <is>
          <t>Chủ trì</t>
        </is>
      </c>
    </row>
    <row r="56">
      <c r="B56" s="4" t="inlineStr">
        <is>
          <t>Hằng ngày</t>
        </is>
      </c>
      <c r="C56" s="5" t="inlineStr">
        <is>
          <t>Họp nhanh 08:30</t>
        </is>
      </c>
      <c r="D56" s="21" t="n"/>
      <c r="E56" s="21" t="n"/>
      <c r="F56" s="22" t="n"/>
      <c r="G56" s="5" t="inlineStr">
        <is>
          <t>R1</t>
        </is>
      </c>
    </row>
    <row r="57">
      <c r="B57" s="4" t="inlineStr">
        <is>
          <t>Chủ nhật</t>
        </is>
      </c>
      <c r="C57" s="5" t="inlineStr">
        <is>
          <t>Review tuần: top 3 video → 5 biến thể; cắt sản phẩm 20 video không đơn</t>
        </is>
      </c>
      <c r="D57" s="21" t="n"/>
      <c r="E57" s="21" t="n"/>
      <c r="F57" s="22" t="n"/>
      <c r="G57" s="5" t="inlineStr">
        <is>
          <t>R1</t>
        </is>
      </c>
    </row>
    <row r="58">
      <c r="B58" s="4" t="inlineStr">
        <is>
          <t>Thứ Hai</t>
        </is>
      </c>
      <c r="C58" s="5" t="inlineStr">
        <is>
          <t>Kiểm tra toàn bộ link Shopee, giá, hoa hồng (đổi theo chiến dịch)</t>
        </is>
      </c>
      <c r="D58" s="21" t="n"/>
      <c r="E58" s="21" t="n"/>
      <c r="F58" s="22" t="n"/>
      <c r="G58" s="5" t="inlineStr">
        <is>
          <t>R4</t>
        </is>
      </c>
    </row>
    <row r="59">
      <c r="B59" s="4" t="inlineStr">
        <is>
          <t>Thứ Sáu</t>
        </is>
      </c>
      <c r="C59" s="5" t="inlineStr">
        <is>
          <t>Lọc NGUON_CONTENT: nguồn “Mới” → chọn 10 ý tưởng sang KHO_KICH_BAN</t>
        </is>
      </c>
      <c r="D59" s="21" t="n"/>
      <c r="E59" s="21" t="n"/>
      <c r="F59" s="22" t="n"/>
      <c r="G59" s="5" t="inlineStr">
        <is>
          <t>R1</t>
        </is>
      </c>
    </row>
    <row r="60">
      <c r="B60" s="4" t="inlineStr">
        <is>
          <t>Ngày 1 hằng tháng</t>
        </is>
      </c>
      <c r="C60" s="5" t="inlineStr">
        <is>
          <t>Review tháng: trụ cột, sản phẩm; tìm sản phẩm mới bằng KaloData + crawl Shopee</t>
        </is>
      </c>
      <c r="D60" s="21" t="n"/>
      <c r="E60" s="21" t="n"/>
      <c r="F60" s="22" t="n"/>
      <c r="G60" s="5" t="inlineStr">
        <is>
          <t>R1</t>
        </is>
      </c>
    </row>
    <row r="61">
      <c r="B61" s="4" t="inlineStr">
        <is>
          <t>Trước mỗi đợt sale</t>
        </is>
      </c>
      <c r="C61" s="5" t="inlineStr">
        <is>
          <t>Kịch bản sale riêng: 11.11, 19/11, Black Friday, 12.12, Tết</t>
        </is>
      </c>
      <c r="D61" s="21" t="n"/>
      <c r="E61" s="21" t="n"/>
      <c r="F61" s="22" t="n"/>
      <c r="G61" s="5" t="inlineStr">
        <is>
          <t>R1</t>
        </is>
      </c>
    </row>
    <row r="63">
      <c r="A63" s="3" t="inlineStr">
        <is>
          <t>Quy tắc đặt tên file video</t>
        </is>
      </c>
    </row>
    <row r="64">
      <c r="B64" s="5" t="inlineStr">
        <is>
          <t>CG-&lt;YYYYMMDD&gt;-&lt;giờ đăng&gt;-&lt;ID video&gt;-&lt;slug&gt;.mp4 → ví dụ CG-20261020-0730-T1-002-review-vuong-bao.mp4 · lưu vào viral-studio-downloads/videos/gioi-tinh/</t>
        </is>
      </c>
      <c r="C64" s="21" t="n"/>
      <c r="D64" s="21" t="n"/>
      <c r="E64" s="21" t="n"/>
      <c r="F64" s="21" t="n"/>
      <c r="G64" s="22" t="n"/>
    </row>
  </sheetData>
  <mergeCells count="28">
    <mergeCell ref="B47:C47"/>
    <mergeCell ref="C61:F61"/>
    <mergeCell ref="B46:C46"/>
    <mergeCell ref="C57:F57"/>
    <mergeCell ref="B38:G38"/>
    <mergeCell ref="B34:G34"/>
    <mergeCell ref="B52:C52"/>
    <mergeCell ref="B48:C48"/>
    <mergeCell ref="B28:G28"/>
    <mergeCell ref="B37:G37"/>
    <mergeCell ref="B40:G40"/>
    <mergeCell ref="C58:F58"/>
    <mergeCell ref="B64:G64"/>
    <mergeCell ref="B33:G33"/>
    <mergeCell ref="B44:C44"/>
    <mergeCell ref="B36:G36"/>
    <mergeCell ref="B41:G41"/>
    <mergeCell ref="B32:G32"/>
    <mergeCell ref="B35:G35"/>
    <mergeCell ref="B49:C49"/>
    <mergeCell ref="C56:F56"/>
    <mergeCell ref="B51:C51"/>
    <mergeCell ref="B31:G31"/>
    <mergeCell ref="B45:C45"/>
    <mergeCell ref="C59:F59"/>
    <mergeCell ref="B50:C50"/>
    <mergeCell ref="C60:F60"/>
    <mergeCell ref="B39:G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5"/>
  <cols>
    <col width="12" customWidth="1" min="1" max="1"/>
    <col width="42" customWidth="1" min="2" max="2"/>
    <col width="32" customWidth="1" min="3" max="3"/>
    <col width="26" customWidth="1" min="4" max="4"/>
  </cols>
  <sheetData>
    <row r="1">
      <c r="A1" s="1" t="inlineStr">
        <is>
          <t>LỊCH ĐĂNG – 8 KHUNG GIỜ/NGÀY</t>
        </is>
      </c>
    </row>
    <row r="2">
      <c r="A2" s="2" t="inlineStr">
        <is>
          <t>Giờ theo thói quen lướt Facebook của đàn ông 45+: cà phê sáng, nghỉ trưa, tối muộn. Tuần 1–3 chưa đủ 8 video thì bỏ bớt khung 13:00 và 22:45 trước.</t>
        </is>
      </c>
    </row>
    <row r="4" ht="30" customHeight="1">
      <c r="A4" s="13" t="inlineStr">
        <is>
          <t>Khung giờ</t>
        </is>
      </c>
      <c r="B4" s="13" t="inlineStr">
        <is>
          <t>Loại video</t>
        </is>
      </c>
      <c r="C4" s="13" t="inlineStr">
        <is>
          <t>Mục tiêu</t>
        </is>
      </c>
      <c r="D4" s="13" t="inlineStr">
        <is>
          <t>Gắn sản phẩm</t>
        </is>
      </c>
    </row>
    <row r="5">
      <c r="A5" s="4" t="inlineStr">
        <is>
          <t>05:45</t>
        </is>
      </c>
      <c r="B5" s="5" t="inlineStr">
        <is>
          <t>Hỏi đáp (không sản phẩm)</t>
        </is>
      </c>
      <c r="C5" s="5" t="inlineStr">
        <is>
          <t>Kéo view giờ cà phê sáng</t>
        </is>
      </c>
      <c r="D5" s="5" t="inlineStr">
        <is>
          <t>Không</t>
        </is>
      </c>
    </row>
    <row r="6">
      <c r="A6" s="4" t="inlineStr">
        <is>
          <t>07:30</t>
        </is>
      </c>
      <c r="B6" s="5" t="inlineStr">
        <is>
          <t>Review sản phẩm – hạng A</t>
        </is>
      </c>
      <c r="C6" s="5" t="inlineStr">
        <is>
          <t>Ra đơn</t>
        </is>
      </c>
      <c r="D6" s="5" t="inlineStr">
        <is>
          <t>Có (1 sản phẩm)</t>
        </is>
      </c>
    </row>
    <row r="7">
      <c r="A7" s="4" t="inlineStr">
        <is>
          <t>11:30</t>
        </is>
      </c>
      <c r="B7" s="5" t="inlineStr">
        <is>
          <t>Hỏi đáp gắn SP – T3 bệnh nền</t>
        </is>
      </c>
      <c r="C7" s="5" t="inlineStr">
        <is>
          <t>Ra đơn giờ nghỉ trưa</t>
        </is>
      </c>
      <c r="D7" s="5" t="inlineStr">
        <is>
          <t>Có (nhắc 1 lần)</t>
        </is>
      </c>
    </row>
    <row r="8">
      <c r="A8" s="4" t="inlineStr">
        <is>
          <t>13:00</t>
        </is>
      </c>
      <c r="B8" s="5" t="inlineStr">
        <is>
          <t>Tình huống vợ chồng</t>
        </is>
      </c>
      <c r="C8" s="5" t="inlineStr">
        <is>
          <t>Bình luận, chia sẻ</t>
        </is>
      </c>
      <c r="D8" s="5" t="inlineStr">
        <is>
          <t>Tùy tập</t>
        </is>
      </c>
    </row>
    <row r="9">
      <c r="A9" s="4" t="inlineStr">
        <is>
          <t>17:30</t>
        </is>
      </c>
      <c r="B9" s="5" t="inlineStr">
        <is>
          <t>Hỏi đáp gắn SP – T1 phong độ</t>
        </is>
      </c>
      <c r="C9" s="5" t="inlineStr">
        <is>
          <t>Ra đơn giờ tan làm</t>
        </is>
      </c>
      <c r="D9" s="5" t="inlineStr">
        <is>
          <t>Có (nhắc 1 lần)</t>
        </is>
      </c>
    </row>
    <row r="10">
      <c r="A10" s="4" t="inlineStr">
        <is>
          <t>20:00</t>
        </is>
      </c>
      <c r="B10" s="5" t="inlineStr">
        <is>
          <t>Review sản phẩm – hạng A khác buổi sáng</t>
        </is>
      </c>
      <c r="C10" s="5" t="inlineStr">
        <is>
          <t>Ra đơn giờ vàng</t>
        </is>
      </c>
      <c r="D10" s="5" t="inlineStr">
        <is>
          <t>Có (1 sản phẩm)</t>
        </is>
      </c>
    </row>
    <row r="11">
      <c r="A11" s="4" t="inlineStr">
        <is>
          <t>21:30</t>
        </is>
      </c>
      <c r="B11" s="5" t="inlineStr">
        <is>
          <t>Hỏi đáp gắn SP – T2 chuyện vợ chồng</t>
        </is>
      </c>
      <c r="C11" s="5" t="inlineStr">
        <is>
          <t>Giờ vàng chủ đề nhạy cảm</t>
        </is>
      </c>
      <c r="D11" s="5" t="inlineStr">
        <is>
          <t>Có (nhắc 1 lần)</t>
        </is>
      </c>
    </row>
    <row r="12">
      <c r="A12" s="4" t="inlineStr">
        <is>
          <t>22:45</t>
        </is>
      </c>
      <c r="B12" s="5" t="inlineStr">
        <is>
          <t>Hỏi đáp (không sản phẩm)</t>
        </is>
      </c>
      <c r="C12" s="5" t="inlineStr">
        <is>
          <t>Giữ lượt tiếp cận cuối ngày</t>
        </is>
      </c>
      <c r="D12" s="5" t="inlineStr">
        <is>
          <t>Không</t>
        </is>
      </c>
    </row>
    <row r="14">
      <c r="A14" s="3" t="inlineStr">
        <is>
          <t>Chủ đề theo thứ trong tuần</t>
        </is>
      </c>
    </row>
    <row r="15" ht="30" customHeight="1">
      <c r="A15" s="13" t="inlineStr">
        <is>
          <t>Thứ</t>
        </is>
      </c>
      <c r="B15" s="13" t="inlineStr">
        <is>
          <t>Chủ đề ngày</t>
        </is>
      </c>
      <c r="C15" s="13" t="inlineStr">
        <is>
          <t>Bối cảnh gợi ý</t>
        </is>
      </c>
      <c r="D15" s="13" t="inlineStr">
        <is>
          <t>Sản phẩm tập trung</t>
        </is>
      </c>
    </row>
    <row r="16">
      <c r="A16" s="4" t="inlineStr">
        <is>
          <t>Thứ 2</t>
        </is>
      </c>
      <c r="B16" s="5" t="inlineStr">
        <is>
          <t>Sai lầm đàn ông hay mắc</t>
        </is>
      </c>
      <c r="C16" s="5" t="inlineStr">
        <is>
          <t>Quán cà phê cóc vỉa hè</t>
        </is>
      </c>
      <c r="D16" s="5" t="inlineStr">
        <is>
          <t>Kẽm DSD / Kẽm ADA</t>
        </is>
      </c>
    </row>
    <row r="17">
      <c r="A17" s="4" t="inlineStr">
        <is>
          <t>Thứ 3</t>
        </is>
      </c>
      <c r="B17" s="5" t="inlineStr">
        <is>
          <t>Hiểu vợ (T2)</t>
        </is>
      </c>
      <c r="C17" s="5" t="inlineStr">
        <is>
          <t>Phòng khách buổi tối</t>
        </is>
      </c>
      <c r="D17" s="5" t="inlineStr">
        <is>
          <t>Gối massage (chồng tặng vợ) / Oniiz</t>
        </is>
      </c>
    </row>
    <row r="18">
      <c r="A18" s="4" t="inlineStr">
        <is>
          <t>Thứ 4</t>
        </is>
      </c>
      <c r="B18" s="5" t="inlineStr">
        <is>
          <t>Bệnh nền &amp; chuyện ấy (T3)</t>
        </is>
      </c>
      <c r="C18" s="5" t="inlineStr">
        <is>
          <t>Bàn làm việc, hộp thuốc</t>
        </is>
      </c>
      <c r="D18" s="5" t="inlineStr">
        <is>
          <t>Máy đo Omron / đai lưng tự nóng</t>
        </is>
      </c>
    </row>
    <row r="19">
      <c r="A19" s="4" t="inlineStr">
        <is>
          <t>Thứ 5</t>
        </is>
      </c>
      <c r="B19" s="5" t="inlineStr">
        <is>
          <t>Tiểu đêm, thận, tiền liệt tuyến (T1)</t>
        </is>
      </c>
      <c r="C19" s="5" t="inlineStr">
        <is>
          <t>Phòng ngủ đèn vàng</t>
        </is>
      </c>
      <c r="D19" s="5" t="inlineStr">
        <is>
          <t>Botamax / Vương Bảo</t>
        </is>
      </c>
    </row>
    <row r="20">
      <c r="A20" s="4" t="inlineStr">
        <is>
          <t>Thứ 6</t>
        </is>
      </c>
      <c r="B20" s="5" t="inlineStr">
        <is>
          <t>Phong độ bề ngoài (T4)</t>
        </is>
      </c>
      <c r="C20" s="5" t="inlineStr">
        <is>
          <t>Tiệm hớt tóc, phòng tắm</t>
        </is>
      </c>
      <c r="D20" s="5" t="inlineStr">
        <is>
          <t>Quần boxer thông hơi / phủ bạc Nezha</t>
        </is>
      </c>
    </row>
    <row r="21">
      <c r="A21" s="4" t="inlineStr">
        <is>
          <t>Thứ 7</t>
        </is>
      </c>
      <c r="B21" s="5" t="inlineStr">
        <is>
          <t>Tình huống vợ chồng cuối tuần</t>
        </is>
      </c>
      <c r="C21" s="5" t="inlineStr">
        <is>
          <t>Bữa cơm gia đình, quán nhậu</t>
        </is>
      </c>
      <c r="D21" s="5" t="inlineStr">
        <is>
          <t>Combo 2 sản phẩm</t>
        </is>
      </c>
    </row>
    <row r="22">
      <c r="A22" s="4" t="inlineStr">
        <is>
          <t>Chủ nhật</t>
        </is>
      </c>
      <c r="B22" s="5" t="inlineStr">
        <is>
          <t>Hỏi đáp từ bình luận</t>
        </is>
      </c>
      <c r="C22" s="5" t="inlineStr">
        <is>
          <t>Quán cà phê sân vườn</t>
        </is>
      </c>
      <c r="D22" s="5" t="inlineStr">
        <is>
          <t>Sản phẩm bán tốt nhất tuần</t>
        </is>
      </c>
    </row>
    <row r="24">
      <c r="A24" s="3" t="inlineStr">
        <is>
          <t>Lịch mùa vụ 10/2026 – 01/2027</t>
        </is>
      </c>
    </row>
    <row r="25" ht="30" customHeight="1">
      <c r="A25" s="13" t="inlineStr">
        <is>
          <t>Thời điểm</t>
        </is>
      </c>
      <c r="B25" s="13" t="inlineStr">
        <is>
          <t>Sự kiện</t>
        </is>
      </c>
      <c r="C25" s="13" t="inlineStr">
        <is>
          <t>Hướng nội dung</t>
        </is>
      </c>
      <c r="D25" s="22" t="n"/>
    </row>
    <row r="26">
      <c r="A26" s="4" t="inlineStr">
        <is>
          <t>20/10</t>
        </is>
      </c>
      <c r="B26" s="5" t="inlineStr">
        <is>
          <t>Ngày Phụ nữ Việt Nam</t>
        </is>
      </c>
      <c r="C26" s="5" t="inlineStr">
        <is>
          <t>“Tặng vợ tuổi 50 cái gì”: gối massage hồng ngoại, trà sâm tố nữ</t>
        </is>
      </c>
      <c r="D26" s="22" t="n"/>
    </row>
    <row r="27">
      <c r="A27" s="4" t="inlineStr">
        <is>
          <t>Tháng 10–12</t>
        </is>
      </c>
      <c r="B27" s="5" t="inlineStr">
        <is>
          <t>Trời trở lạnh</t>
        </is>
      </c>
      <c r="C27" s="5" t="inlineStr">
        <is>
          <t>Tiểu đêm tăng, đau khớp: Botamax, đai lưng tự nóng, gối massage</t>
        </is>
      </c>
      <c r="D27" s="22" t="n"/>
    </row>
    <row r="28">
      <c r="A28" s="4" t="inlineStr">
        <is>
          <t>10–11/11</t>
        </is>
      </c>
      <c r="B28" s="5" t="inlineStr">
        <is>
          <t>Sale 11.11</t>
        </is>
      </c>
      <c r="C28" s="5" t="inlineStr">
        <is>
          <t>3 ngày trước sale: tăng review lên 3/8 video; máy đo Omron, gối massage (giá cao)</t>
        </is>
      </c>
      <c r="D28" s="22" t="n"/>
    </row>
    <row r="29">
      <c r="A29" s="4" t="inlineStr">
        <is>
          <t>19/11</t>
        </is>
      </c>
      <c r="B29" s="5" t="inlineStr">
        <is>
          <t>Ngày Quốc tế Nam giới</t>
        </is>
      </c>
      <c r="C29" s="5" t="inlineStr">
        <is>
          <t>Tuần sức khỏe đàn ông: Botamax, kẽm, tiền liệt tuyến, tầm soát</t>
        </is>
      </c>
      <c r="D29" s="22" t="n"/>
    </row>
    <row r="30">
      <c r="A30" s="4" t="inlineStr">
        <is>
          <t>27/11</t>
        </is>
      </c>
      <c r="B30" s="5" t="inlineStr">
        <is>
          <t>Black Friday</t>
        </is>
      </c>
      <c r="C30" s="5" t="inlineStr">
        <is>
          <t>Sản phẩm giá cao: máy đo Omron, gối massage hồng ngoại, combo quần boxer</t>
        </is>
      </c>
      <c r="D30" s="22" t="n"/>
    </row>
    <row r="31">
      <c r="A31" s="4" t="inlineStr">
        <is>
          <t>12/12</t>
        </is>
      </c>
      <c r="B31" s="5" t="inlineStr">
        <is>
          <t>Sale 12.12 (thứ Bảy)</t>
        </is>
      </c>
      <c r="C31" s="5" t="inlineStr">
        <is>
          <t>Như 11.11; thêm combo quà cho ba</t>
        </is>
      </c>
      <c r="D31" s="22" t="n"/>
    </row>
    <row r="32">
      <c r="A32" s="4" t="inlineStr">
        <is>
          <t>Cuối năm</t>
        </is>
      </c>
      <c r="B32" s="5" t="inlineStr">
        <is>
          <t>Tất niên, nhậu nhiều</t>
        </is>
      </c>
      <c r="C32" s="5" t="inlineStr">
        <is>
          <t>“Rượu bia và chuyện ấy”: kẽm, Botamax</t>
        </is>
      </c>
      <c r="D32" s="22" t="n"/>
    </row>
    <row r="33">
      <c r="A33" s="4" t="inlineStr">
        <is>
          <t>24–25/12</t>
        </is>
      </c>
      <c r="B33" s="5" t="inlineStr">
        <is>
          <t>Noel</t>
        </is>
      </c>
      <c r="C33" s="5" t="inlineStr">
        <is>
          <t>Tình huống vợ chồng: quà cuối năm cho nhau</t>
        </is>
      </c>
      <c r="D33" s="22" t="n"/>
    </row>
    <row r="34">
      <c r="A34" s="4" t="inlineStr">
        <is>
          <t>Tháng 1/2027</t>
        </is>
      </c>
      <c r="B34" s="5" t="inlineStr">
        <is>
          <t>Chuẩn bị Tết 2027 (Tết 06/02)</t>
        </is>
      </c>
      <c r="C34" s="5" t="inlineStr">
        <is>
          <t>Quà Tết cho ba (máy đo Omron, gối massage), phủ bạc Nezha đón Tết</t>
        </is>
      </c>
      <c r="D34" s="22" t="n"/>
    </row>
    <row r="36">
      <c r="A36" s="3" t="inlineStr">
        <is>
          <t>Quy tắc chống lặp</t>
        </is>
      </c>
    </row>
    <row r="37">
      <c r="A37" s="5" t="inlineStr">
        <is>
          <t>•</t>
        </is>
      </c>
      <c r="B37" s="5" t="inlineStr">
        <is>
          <t>Một sản phẩm tối đa 2 lần/ngày, mỗi lần đổi bối cảnh và góc kể</t>
        </is>
      </c>
      <c r="C37" s="21" t="n"/>
      <c r="D37" s="22" t="n"/>
    </row>
    <row r="38">
      <c r="A38" s="5" t="inlineStr">
        <is>
          <t>•</t>
        </is>
      </c>
      <c r="B38" s="5" t="inlineStr">
        <is>
          <t>Không dùng chung câu mở đầu quá 3 lần/tuần; băng chữ đỏ mỗi video một câu hỏi khác</t>
        </is>
      </c>
      <c r="C38" s="21" t="n"/>
      <c r="D38" s="22" t="n"/>
    </row>
    <row r="39">
      <c r="A39" s="5" t="inlineStr">
        <is>
          <t>•</t>
        </is>
      </c>
      <c r="B39" s="5" t="inlineStr">
        <is>
          <t>Biến thể của video thắng cách nhau ≥ 5 ngày</t>
        </is>
      </c>
      <c r="C39" s="21" t="n"/>
      <c r="D39" s="22" t="n"/>
    </row>
    <row r="40">
      <c r="A40" s="5" t="inlineStr">
        <is>
          <t>•</t>
        </is>
      </c>
      <c r="B40" s="5" t="inlineStr">
        <is>
          <t>Postiz giới hạn ~30 request/giờ: 8 bài × 2 request, script tự chờ</t>
        </is>
      </c>
      <c r="C40" s="21" t="n"/>
      <c r="D40" s="22" t="n"/>
    </row>
  </sheetData>
  <mergeCells count="14">
    <mergeCell ref="C34:D34"/>
    <mergeCell ref="C29:D29"/>
    <mergeCell ref="C30:D30"/>
    <mergeCell ref="C32:D32"/>
    <mergeCell ref="B37:D37"/>
    <mergeCell ref="C33:D33"/>
    <mergeCell ref="C25:D25"/>
    <mergeCell ref="C27:D27"/>
    <mergeCell ref="B40:D40"/>
    <mergeCell ref="C28:D28"/>
    <mergeCell ref="B39:D39"/>
    <mergeCell ref="C31:D31"/>
    <mergeCell ref="C26:D26"/>
    <mergeCell ref="B38:D38"/>
  </mergeCells>
  <pageMargins left="0.75" right="0.75" top="1" bottom="1" header="0.5" footer="0.5"/>
</worksheet>
</file>

<file path=xl/worksheets/sheet8.xml><?xml version="1.0" encoding="utf-8"?>
<worksheet xmlns="http://schemas.openxmlformats.org/spreadsheetml/2006/main">
  <sheetPr>
    <tabColor rgb="002563EB"/>
    <outlinePr summaryBelow="1" summaryRight="1"/>
    <pageSetUpPr/>
  </sheetPr>
  <dimension ref="A1:S2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0" customWidth="1" min="3" max="3"/>
    <col width="44" customWidth="1" min="4" max="4"/>
    <col width="11" customWidth="1" min="5" max="5"/>
    <col width="8" customWidth="1" min="6" max="6"/>
    <col width="11" customWidth="1" min="7" max="7"/>
    <col width="9" customWidth="1" min="8" max="8"/>
    <col width="9" customWidth="1" min="9" max="9"/>
    <col width="7" customWidth="1" min="10" max="10"/>
    <col width="40" customWidth="1" min="11" max="11"/>
    <col width="28" customWidth="1" min="12" max="12"/>
    <col width="46" customWidth="1" min="13" max="13"/>
    <col width="40" customWidth="1" min="14" max="14"/>
    <col width="7" customWidth="1" min="15" max="15"/>
    <col width="30" customWidth="1" min="16" max="16"/>
    <col width="16" customWidth="1" min="17" max="17"/>
    <col width="10" customWidth="1" min="18" max="18"/>
    <col width="10" customWidth="1" min="19" max="19"/>
  </cols>
  <sheetData>
    <row r="1">
      <c r="A1" s="1" t="inlineStr">
        <is>
          <t>SẢN PHẨM AFFILIATE SHOPEE – 22 LINK</t>
        </is>
      </c>
    </row>
    <row r="2">
      <c r="A2" s="2" t="inlineStr">
        <is>
          <t>Tham chiếu duy nhất: sản phẩm trong link Shopee (tên, giá, hoa hồng). Hạng xếp theo hoa hồng/đơn trên Shopee và độ hợp chủ đề. Link kèm Sub_id ở cột M là link chung; link riêng từng video nằm ở KHO_KICH_BAN cột I.</t>
        </is>
      </c>
    </row>
    <row r="4" ht="30" customHeight="1">
      <c r="A4" s="13" t="inlineStr">
        <is>
          <t>Mã SP</t>
        </is>
      </c>
      <c r="B4" s="13" t="inlineStr">
        <is>
          <t>Nhóm</t>
        </is>
      </c>
      <c r="C4" s="13" t="inlineStr">
        <is>
          <t>Tên sản phẩm (theo link Shopee)</t>
        </is>
      </c>
      <c r="D4" s="13" t="inlineStr">
        <is>
          <t>Tên đầy đủ trên Shopee</t>
        </is>
      </c>
      <c r="E4" s="13" t="inlineStr">
        <is>
          <t>Giá (đ)</t>
        </is>
      </c>
      <c r="F4" s="13" t="inlineStr">
        <is>
          <t>HH %</t>
        </is>
      </c>
      <c r="G4" s="13" t="inlineStr">
        <is>
          <t>HH/đơn (đ)</t>
        </is>
      </c>
      <c r="H4" s="13" t="inlineStr">
        <is>
          <t>Trụ cột chính</t>
        </is>
      </c>
      <c r="I4" s="13" t="inlineStr">
        <is>
          <t>Trụ cột phụ</t>
        </is>
      </c>
      <c r="J4" s="13" t="inlineStr">
        <is>
          <t>Hạng</t>
        </is>
      </c>
      <c r="K4" s="13" t="inlineStr">
        <is>
          <t>Góc nội dung</t>
        </is>
      </c>
      <c r="L4" s="13" t="inlineStr">
        <is>
          <t>Link Shopee Affiliate</t>
        </is>
      </c>
      <c r="M4" s="13" t="inlineStr">
        <is>
          <t>Link kèm Sub_id (chung)</t>
        </is>
      </c>
      <c r="N4" s="13" t="inlineStr">
        <is>
          <t>Thư mục ảnh</t>
        </is>
      </c>
      <c r="O4" s="13" t="inlineStr">
        <is>
          <t>Số ảnh</t>
        </is>
      </c>
      <c r="P4" s="13" t="inlineStr">
        <is>
          <t>Ghi chú</t>
        </is>
      </c>
      <c r="Q4" s="13" t="inlineStr">
        <is>
          <t>Trạng thái link</t>
        </is>
      </c>
      <c r="R4" s="13" t="inlineStr">
        <is>
          <t>Video trong kho</t>
        </is>
      </c>
      <c r="S4" s="13" t="inlineStr">
        <is>
          <t>Đơn ghi nhận</t>
        </is>
      </c>
    </row>
    <row r="5" ht="42" customHeight="1">
      <c r="A5" s="24" t="n">
        <v>1</v>
      </c>
      <c r="B5" s="5" t="inlineStr">
        <is>
          <t>1. Sinh lý &amp; tiết niệu</t>
        </is>
      </c>
      <c r="C5" s="4" t="inlineStr">
        <is>
          <t>Kẽm DSD Multi Ginseng B+ Plus 150mg (60 viên)</t>
        </is>
      </c>
      <c r="D5" s="5" t="inlineStr">
        <is>
          <t>Viên Uống Kẽm DSD Multi Ginseng B+ Plus 150mg Hộp 60 Viên - Vitamin B &amp; Nhân Sâm - Bổ Sung Kẽm, Tăng Cường Sức Khỏe</t>
        </is>
      </c>
      <c r="E5" s="12" t="n">
        <v>175750</v>
      </c>
      <c r="F5" s="37" t="n">
        <v>0.075</v>
      </c>
      <c r="G5" s="12">
        <f>E5*F5</f>
        <v/>
      </c>
      <c r="H5" s="24" t="inlineStr">
        <is>
          <t>T1</t>
        </is>
      </c>
      <c r="I5" s="23" t="inlineStr"/>
      <c r="J5" s="38" t="inlineStr">
        <is>
          <t>B</t>
        </is>
      </c>
      <c r="K5" s="5" t="inlineStr">
        <is>
          <t>Đàn ông nhậu nhiều, ra mồ hôi nhiều dễ hụt kẽm: hay mệt, rụng tóc, ra ít</t>
        </is>
      </c>
      <c r="L5" s="39" t="inlineStr">
        <is>
          <t>https://s.shopee.vn/4fx1tDnhTe</t>
        </is>
      </c>
      <c r="M5" s="39" t="inlineStr">
        <is>
          <t>https://s.shopee.vn/4fx1tDnhTe?sub_id=ChiGiang-Chung-FBReels-SP01</t>
        </is>
      </c>
      <c r="N5" s="39" t="inlineStr">
        <is>
          <t>D:\video-ai-aff\shopee-aff-crawler\storage\images\4fx1tDnhTe</t>
        </is>
      </c>
      <c r="O5" s="23" t="n">
        <v>6</v>
      </c>
      <c r="P5" s="5" t="n"/>
      <c r="Q5" s="26" t="inlineStr">
        <is>
          <t>Chưa kiểm tra</t>
        </is>
      </c>
      <c r="R5" s="14">
        <f>COUNTIF(KHO_KICH_BAN!$G$5:$G$404,A5)</f>
        <v/>
      </c>
      <c r="S5" s="14">
        <f>SUMIF(KHO_KICH_BAN!$G$5:$G$404,A5,KHO_KICH_BAN!$S$5:$S$404)</f>
        <v/>
      </c>
    </row>
    <row r="6" ht="42" customHeight="1">
      <c r="A6" s="24" t="n">
        <v>2</v>
      </c>
      <c r="B6" s="5" t="inlineStr">
        <is>
          <t>1. Sinh lý &amp; tiết niệu</t>
        </is>
      </c>
      <c r="C6" s="4" t="inlineStr">
        <is>
          <t>Viên Bổ Thận DSD Sâm Nhung</t>
        </is>
      </c>
      <c r="D6" s="5" t="inlineStr">
        <is>
          <t>TPBVSK Viên Bổ Thận DSD Sâm Nhung Bổ Thận hỗ trợ bổ huyết, dưỡng thận, cải thiện đau lưng mỏi gối. Hộp 1 lọ x 60 viên</t>
        </is>
      </c>
      <c r="E6" s="12" t="n">
        <v>215000</v>
      </c>
      <c r="F6" s="37" t="n">
        <v>0.175</v>
      </c>
      <c r="G6" s="12">
        <f>E6*F6</f>
        <v/>
      </c>
      <c r="H6" s="24" t="inlineStr">
        <is>
          <t>T1</t>
        </is>
      </c>
      <c r="I6" s="23" t="inlineStr">
        <is>
          <t>T5</t>
        </is>
      </c>
      <c r="J6" s="40" t="inlineStr">
        <is>
          <t>A</t>
        </is>
      </c>
      <c r="K6" s="5" t="inlineStr">
        <is>
          <t>Đêm tiểu nhiều, sáng lưng mỏi nhừ, chiều về hết hứng</t>
        </is>
      </c>
      <c r="L6" s="39" t="inlineStr">
        <is>
          <t>https://s.shopee.vn/5AtIVGl1EU</t>
        </is>
      </c>
      <c r="M6" s="39" t="inlineStr">
        <is>
          <t>https://s.shopee.vn/5AtIVGl1EU?sub_id=ChiGiang-Chung-FBReels-SP02</t>
        </is>
      </c>
      <c r="N6" s="39" t="inlineStr">
        <is>
          <t>D:\video-ai-aff\shopee-aff-crawler\storage\images\5AtIVGl1EU</t>
        </is>
      </c>
      <c r="O6" s="23" t="n">
        <v>5</v>
      </c>
      <c r="P6" s="5" t="inlineStr">
        <is>
          <t>Đợt đầu crawl nhầm “Sâm Nhung Bổ Thận New” 35k – đã crawl lại đúng hàng DSD</t>
        </is>
      </c>
      <c r="Q6" s="26" t="inlineStr">
        <is>
          <t>Chưa kiểm tra</t>
        </is>
      </c>
      <c r="R6" s="14">
        <f>COUNTIF(KHO_KICH_BAN!$G$5:$G$404,A6)</f>
        <v/>
      </c>
      <c r="S6" s="14">
        <f>SUMIF(KHO_KICH_BAN!$G$5:$G$404,A6,KHO_KICH_BAN!$S$5:$S$404)</f>
        <v/>
      </c>
    </row>
    <row r="7" ht="42" customHeight="1">
      <c r="A7" s="24" t="n">
        <v>3</v>
      </c>
      <c r="B7" s="5" t="inlineStr">
        <is>
          <t>1. Sinh lý &amp; tiết niệu</t>
        </is>
      </c>
      <c r="C7" s="4" t="inlineStr">
        <is>
          <t>Vương Bảo Thái Minh (tiền liệt tuyến)</t>
        </is>
      </c>
      <c r="D7" s="5" t="inlineStr">
        <is>
          <t>Vương Bảo Thái Minh - Viên uống hỗ trợ giảm kích thước tuyến tiền liệt ở nam giới - Hộp 20 viên - lọ 80 viên</t>
        </is>
      </c>
      <c r="E7" s="12" t="n">
        <v>275000</v>
      </c>
      <c r="F7" s="37" t="n">
        <v>0.025</v>
      </c>
      <c r="G7" s="12">
        <f>E7*F7</f>
        <v/>
      </c>
      <c r="H7" s="24" t="inlineStr">
        <is>
          <t>T1</t>
        </is>
      </c>
      <c r="I7" s="23" t="inlineStr"/>
      <c r="J7" s="41" t="inlineStr">
        <is>
          <t>C</t>
        </is>
      </c>
      <c r="K7" s="5" t="inlineStr">
        <is>
          <t>Đêm dậy tiểu 3–4 lần, tiểu xong còn nhỏ giọt</t>
        </is>
      </c>
      <c r="L7" s="39" t="inlineStr">
        <is>
          <t>https://s.shopee.vn/gQt7yIJF2</t>
        </is>
      </c>
      <c r="M7" s="39" t="inlineStr">
        <is>
          <t>https://s.shopee.vn/gQt7yIJF2?sub_id=ChiGiang-Chung-FBReels-SP03</t>
        </is>
      </c>
      <c r="N7" s="39" t="inlineStr">
        <is>
          <t>D:\video-ai-aff\shopee-aff-crawler\storage\images\gQt7yIJF2</t>
        </is>
      </c>
      <c r="O7" s="23" t="n">
        <v>6</v>
      </c>
      <c r="P7" s="5" t="n"/>
      <c r="Q7" s="26" t="inlineStr">
        <is>
          <t>Chưa kiểm tra</t>
        </is>
      </c>
      <c r="R7" s="14">
        <f>COUNTIF(KHO_KICH_BAN!$G$5:$G$404,A7)</f>
        <v/>
      </c>
      <c r="S7" s="14">
        <f>SUMIF(KHO_KICH_BAN!$G$5:$G$404,A7,KHO_KICH_BAN!$S$5:$S$404)</f>
        <v/>
      </c>
    </row>
    <row r="8" ht="42" customHeight="1">
      <c r="A8" s="24" t="n">
        <v>4</v>
      </c>
      <c r="B8" s="5" t="inlineStr">
        <is>
          <t>1. Sinh lý &amp; tiết niệu</t>
        </is>
      </c>
      <c r="C8" s="4" t="inlineStr">
        <is>
          <t>Viên Thận Botamax</t>
        </is>
      </c>
      <c r="D8" s="5" t="inlineStr">
        <is>
          <t>Viên Thận BOTAMAX - Hỗ trợ bổ thận, cải thiện chức năng thận, giảm đau lưng, mỏi gối, tiểu nhiều lần - Lọ 60/90 Viên</t>
        </is>
      </c>
      <c r="E8" s="12" t="n">
        <v>265000</v>
      </c>
      <c r="F8" s="37" t="n">
        <v>0.175</v>
      </c>
      <c r="G8" s="12">
        <f>E8*F8</f>
        <v/>
      </c>
      <c r="H8" s="24" t="inlineStr">
        <is>
          <t>T1</t>
        </is>
      </c>
      <c r="I8" s="23" t="inlineStr"/>
      <c r="J8" s="40" t="inlineStr">
        <is>
          <t>A</t>
        </is>
      </c>
      <c r="K8" s="5" t="inlineStr">
        <is>
          <t>Thận yếu có phải yếu sinh lý? – lưng mỏi, tiểu đêm</t>
        </is>
      </c>
      <c r="L8" s="39" t="inlineStr">
        <is>
          <t>https://s.shopee.vn/Lo2jOzo00</t>
        </is>
      </c>
      <c r="M8" s="39" t="inlineStr">
        <is>
          <t>https://s.shopee.vn/Lo2jOzo00?sub_id=ChiGiang-Chung-FBReels-SP04</t>
        </is>
      </c>
      <c r="N8" s="39" t="inlineStr">
        <is>
          <t>D:\video-ai-aff\shopee-aff-crawler\storage\images\Lo2jOzo00</t>
        </is>
      </c>
      <c r="O8" s="23" t="n">
        <v>6</v>
      </c>
      <c r="P8" s="5" t="n"/>
      <c r="Q8" s="26" t="inlineStr">
        <is>
          <t>Chưa kiểm tra</t>
        </is>
      </c>
      <c r="R8" s="14">
        <f>COUNTIF(KHO_KICH_BAN!$G$5:$G$404,A8)</f>
        <v/>
      </c>
      <c r="S8" s="14">
        <f>SUMIF(KHO_KICH_BAN!$G$5:$G$404,A8,KHO_KICH_BAN!$S$5:$S$404)</f>
        <v/>
      </c>
    </row>
    <row r="9" ht="42" customHeight="1">
      <c r="A9" s="24" t="n">
        <v>5</v>
      </c>
      <c r="B9" s="5" t="inlineStr">
        <is>
          <t>1. Sinh lý &amp; tiết niệu</t>
        </is>
      </c>
      <c r="C9" s="4" t="inlineStr">
        <is>
          <t>Kẽm ADA 150mg</t>
        </is>
      </c>
      <c r="D9" s="5" t="inlineStr">
        <is>
          <t>Kẽm ADA 150mg Kẽm Gluconate Nguyên Liệu Nhập Pháp. - Hỗ trợ tăng cường sức khỏe, đề kháng</t>
        </is>
      </c>
      <c r="E9" s="12" t="n">
        <v>67000</v>
      </c>
      <c r="F9" s="37" t="n">
        <v>0.175</v>
      </c>
      <c r="G9" s="12">
        <f>E9*F9</f>
        <v/>
      </c>
      <c r="H9" s="24" t="inlineStr">
        <is>
          <t>T1</t>
        </is>
      </c>
      <c r="I9" s="23" t="inlineStr"/>
      <c r="J9" s="38" t="inlineStr">
        <is>
          <t>B</t>
        </is>
      </c>
      <c r="K9" s="5" t="inlineStr">
        <is>
          <t>Kẽm uống lúc nào cho đúng, uống bao lâu mới thấy khác</t>
        </is>
      </c>
      <c r="L9" s="39" t="inlineStr">
        <is>
          <t>https://s.shopee.vn/6AlpgAUH53</t>
        </is>
      </c>
      <c r="M9" s="39" t="inlineStr">
        <is>
          <t>https://s.shopee.vn/6AlpgAUH53?sub_id=ChiGiang-Chung-FBReels-SP05</t>
        </is>
      </c>
      <c r="N9" s="39" t="inlineStr">
        <is>
          <t>D:\video-ai-aff\shopee-aff-crawler\storage\images\6AlpgAUH53</t>
        </is>
      </c>
      <c r="O9" s="23" t="n">
        <v>5</v>
      </c>
      <c r="P9" s="5" t="n"/>
      <c r="Q9" s="26" t="inlineStr">
        <is>
          <t>Chưa kiểm tra</t>
        </is>
      </c>
      <c r="R9" s="14">
        <f>COUNTIF(KHO_KICH_BAN!$G$5:$G$404,A9)</f>
        <v/>
      </c>
      <c r="S9" s="14">
        <f>SUMIF(KHO_KICH_BAN!$G$5:$G$404,A9,KHO_KICH_BAN!$S$5:$S$404)</f>
        <v/>
      </c>
    </row>
    <row r="10" ht="42" customHeight="1">
      <c r="A10" s="24" t="n">
        <v>6</v>
      </c>
      <c r="B10" s="5" t="inlineStr">
        <is>
          <t>1. Sinh lý &amp; tiết niệu</t>
        </is>
      </c>
      <c r="C10" s="4" t="inlineStr">
        <is>
          <t>Bọt vệ sinh nam Oniiz (combo)</t>
        </is>
      </c>
      <c r="D10" s="5" t="inlineStr">
        <is>
          <t>Bộ 6 Bọt vệ sinh nam Oniiz, Combo 3 Bọt vệ sinh, Dung dịch Masculine Foam Plus hương nước hoa, cocktail 100ml và 145ml</t>
        </is>
      </c>
      <c r="E10" s="12" t="n">
        <v>259000</v>
      </c>
      <c r="F10" s="37" t="n">
        <v>0.045</v>
      </c>
      <c r="G10" s="12">
        <f>E10*F10</f>
        <v/>
      </c>
      <c r="H10" s="24" t="inlineStr">
        <is>
          <t>T4</t>
        </is>
      </c>
      <c r="I10" s="23" t="inlineStr">
        <is>
          <t>T2</t>
        </is>
      </c>
      <c r="J10" s="38" t="inlineStr">
        <is>
          <t>B</t>
        </is>
      </c>
      <c r="K10" s="5" t="inlineStr">
        <is>
          <t>Ngứa, mùi, mồ hôi vùng kín; vệ sinh trước khi gần vợ</t>
        </is>
      </c>
      <c r="L10" s="39" t="inlineStr">
        <is>
          <t>https://s.shopee.vn/6fi6I4Q0Hu</t>
        </is>
      </c>
      <c r="M10" s="39" t="inlineStr">
        <is>
          <t>https://s.shopee.vn/6fi6I4Q0Hu?sub_id=ChiGiang-Chung-FBReels-SP06</t>
        </is>
      </c>
      <c r="N10" s="39" t="inlineStr">
        <is>
          <t>D:\video-ai-aff\shopee-aff-crawler\storage\images\6fi6I4Q0Hu</t>
        </is>
      </c>
      <c r="O10" s="23" t="n">
        <v>3</v>
      </c>
      <c r="P10" s="5" t="n"/>
      <c r="Q10" s="26" t="inlineStr">
        <is>
          <t>Chưa kiểm tra</t>
        </is>
      </c>
      <c r="R10" s="14">
        <f>COUNTIF(KHO_KICH_BAN!$G$5:$G$404,A10)</f>
        <v/>
      </c>
      <c r="S10" s="14">
        <f>SUMIF(KHO_KICH_BAN!$G$5:$G$404,A10,KHO_KICH_BAN!$S$5:$S$404)</f>
        <v/>
      </c>
    </row>
    <row r="11" ht="42" customHeight="1">
      <c r="A11" s="24" t="n">
        <v>8</v>
      </c>
      <c r="B11" s="5" t="inlineStr">
        <is>
          <t>1. Sinh lý &amp; tiết niệu</t>
        </is>
      </c>
      <c r="C11" s="4" t="inlineStr">
        <is>
          <t>Bao cao su Durex Performa</t>
        </is>
      </c>
      <c r="D11" s="5" t="inlineStr">
        <is>
          <t>Bao Cao Su Durex PERFORMA ,Kéo Dài Thời Gian, Siêu Mỏng, Nhiều Gel - Hộp 12 chiếc</t>
        </is>
      </c>
      <c r="E11" s="12" t="n">
        <v>20000</v>
      </c>
      <c r="F11" s="37" t="n">
        <v>0.135</v>
      </c>
      <c r="G11" s="12">
        <f>E11*F11</f>
        <v/>
      </c>
      <c r="H11" s="24" t="inlineStr">
        <is>
          <t>T2</t>
        </is>
      </c>
      <c r="I11" s="23" t="inlineStr"/>
      <c r="J11" s="41" t="inlineStr">
        <is>
          <t>C</t>
        </is>
      </c>
      <c r="K11" s="5" t="inlineStr">
        <is>
          <t>Vợ chồng lớn tuổi có cần dùng bao không</t>
        </is>
      </c>
      <c r="L11" s="39" t="inlineStr">
        <is>
          <t>https://s.shopee.vn/7VHDHhq6DU</t>
        </is>
      </c>
      <c r="M11" s="39" t="inlineStr">
        <is>
          <t>https://s.shopee.vn/7VHDHhq6DU?sub_id=ChiGiang-Chung-FBReels-SP08</t>
        </is>
      </c>
      <c r="N11" s="39" t="inlineStr">
        <is>
          <t>D:\video-ai-aff\shopee-aff-crawler\storage\images\7VHDHhq6DU</t>
        </is>
      </c>
      <c r="O11" s="23" t="n">
        <v>6</v>
      </c>
      <c r="P11" s="5" t="inlineStr">
        <is>
          <t>Giá trên link là phân loại nhỏ nhất – kiểm tra giá hộp 12 trước khi làm video</t>
        </is>
      </c>
      <c r="Q11" s="26" t="inlineStr">
        <is>
          <t>Chưa kiểm tra</t>
        </is>
      </c>
      <c r="R11" s="14">
        <f>COUNTIF(KHO_KICH_BAN!$G$5:$G$404,A11)</f>
        <v/>
      </c>
      <c r="S11" s="14">
        <f>SUMIF(KHO_KICH_BAN!$G$5:$G$404,A11,KHO_KICH_BAN!$S$5:$S$404)</f>
        <v/>
      </c>
    </row>
    <row r="12" ht="42" customHeight="1">
      <c r="A12" s="24" t="n">
        <v>9</v>
      </c>
      <c r="B12" s="5" t="inlineStr">
        <is>
          <t>2. Bệnh nền</t>
        </is>
      </c>
      <c r="C12" s="4" t="inlineStr">
        <is>
          <t>Gel xoa bóp xương khớp Phục Thể An (Musecos)</t>
        </is>
      </c>
      <c r="D12" s="5" t="inlineStr">
        <is>
          <t>[LOẠI 1] Gel Xoa Bóp Xương Khớp Musecos Phục Thể An - Giảm Đau Nhức Vai Gáy, Tê Mỏi Tay Chân, Thẩm Thấu Nhanh (Tuýp 50g)</t>
        </is>
      </c>
      <c r="E12" s="12" t="n">
        <v>24402</v>
      </c>
      <c r="F12" s="37" t="n">
        <v>0.025</v>
      </c>
      <c r="G12" s="12">
        <f>E12*F12</f>
        <v/>
      </c>
      <c r="H12" s="24" t="inlineStr">
        <is>
          <t>T3</t>
        </is>
      </c>
      <c r="I12" s="23" t="inlineStr">
        <is>
          <t>T5</t>
        </is>
      </c>
      <c r="J12" s="41" t="inlineStr">
        <is>
          <t>C</t>
        </is>
      </c>
      <c r="K12" s="5" t="inlineStr">
        <is>
          <t>Đau lưng, mỏi gối mùa lạnh – thoa tại chỗ</t>
        </is>
      </c>
      <c r="L12" s="39" t="inlineStr">
        <is>
          <t>https://s.shopee.vn/3Vl4VSZVgM</t>
        </is>
      </c>
      <c r="M12" s="39" t="inlineStr">
        <is>
          <t>https://s.shopee.vn/3Vl4VSZVgM?sub_id=ChiGiang-Chung-FBReels-SP09</t>
        </is>
      </c>
      <c r="N12" s="39" t="inlineStr">
        <is>
          <t>D:\video-ai-aff\shopee-aff-crawler\storage\images\3Vl4VSZVgM</t>
        </is>
      </c>
      <c r="O12" s="23" t="n">
        <v>4</v>
      </c>
      <c r="P12" s="5" t="inlineStr">
        <is>
          <t>Giá trên link là phân loại nhỏ nhất</t>
        </is>
      </c>
      <c r="Q12" s="26" t="inlineStr">
        <is>
          <t>Chưa kiểm tra</t>
        </is>
      </c>
      <c r="R12" s="14">
        <f>COUNTIF(KHO_KICH_BAN!$G$5:$G$404,A12)</f>
        <v/>
      </c>
      <c r="S12" s="14">
        <f>SUMIF(KHO_KICH_BAN!$G$5:$G$404,A12,KHO_KICH_BAN!$S$5:$S$404)</f>
        <v/>
      </c>
    </row>
    <row r="13" ht="42" customHeight="1">
      <c r="A13" s="24" t="n">
        <v>10</v>
      </c>
      <c r="B13" s="5" t="inlineStr">
        <is>
          <t>2. Bệnh nền</t>
        </is>
      </c>
      <c r="C13" s="4" t="inlineStr">
        <is>
          <t>Linh Chi Thiên Ma Thấu Cốt Hoàn</t>
        </is>
      </c>
      <c r="D13" s="5" t="inlineStr">
        <is>
          <t>Linh Chi Thiên Ma Thấu Cốt Hoàn</t>
        </is>
      </c>
      <c r="E13" s="12" t="n">
        <v>78000</v>
      </c>
      <c r="F13" s="37" t="n">
        <v>0.025</v>
      </c>
      <c r="G13" s="12">
        <f>E13*F13</f>
        <v/>
      </c>
      <c r="H13" s="24" t="inlineStr">
        <is>
          <t>T3</t>
        </is>
      </c>
      <c r="I13" s="23" t="inlineStr"/>
      <c r="J13" s="41" t="inlineStr">
        <is>
          <t>C</t>
        </is>
      </c>
      <c r="K13" s="5" t="inlineStr">
        <is>
          <t>Đau khớp gối khi trời trở lạnh</t>
        </is>
      </c>
      <c r="L13" s="39" t="inlineStr">
        <is>
          <t>https://s.shopee.vn/4B0lIkf37r</t>
        </is>
      </c>
      <c r="M13" s="39" t="inlineStr">
        <is>
          <t>https://s.shopee.vn/4B0lIkf37r?sub_id=ChiGiang-Chung-FBReels-SP10</t>
        </is>
      </c>
      <c r="N13" s="39" t="inlineStr">
        <is>
          <t>D:\video-ai-aff\shopee-aff-crawler\storage\images\4B0lIkf37r</t>
        </is>
      </c>
      <c r="O13" s="23" t="n">
        <v>4</v>
      </c>
      <c r="P13" s="5" t="n"/>
      <c r="Q13" s="26" t="inlineStr">
        <is>
          <t>Chưa kiểm tra</t>
        </is>
      </c>
      <c r="R13" s="14">
        <f>COUNTIF(KHO_KICH_BAN!$G$5:$G$404,A13)</f>
        <v/>
      </c>
      <c r="S13" s="14">
        <f>SUMIF(KHO_KICH_BAN!$G$5:$G$404,A13,KHO_KICH_BAN!$S$5:$S$404)</f>
        <v/>
      </c>
    </row>
    <row r="14" ht="42" customHeight="1">
      <c r="A14" s="24" t="n">
        <v>11</v>
      </c>
      <c r="B14" s="5" t="inlineStr">
        <is>
          <t>2. Bệnh nền</t>
        </is>
      </c>
      <c r="C14" s="4" t="inlineStr">
        <is>
          <t>Máy đo huyết áp Omron HEM-7180</t>
        </is>
      </c>
      <c r="D14" s="5" t="inlineStr">
        <is>
          <t>Máy Đo Huyết Áp Bắp Tay Tự Động Omron Ez Lite HEM-7180 |Thương Hiệu Nhật Bản, Bảo Hành 5 Năm</t>
        </is>
      </c>
      <c r="E14" s="12" t="n">
        <v>932000</v>
      </c>
      <c r="F14" s="37" t="n">
        <v>0.045</v>
      </c>
      <c r="G14" s="12">
        <f>E14*F14</f>
        <v/>
      </c>
      <c r="H14" s="24" t="inlineStr">
        <is>
          <t>T3</t>
        </is>
      </c>
      <c r="I14" s="23" t="inlineStr">
        <is>
          <t>T5</t>
        </is>
      </c>
      <c r="J14" s="40" t="inlineStr">
        <is>
          <t>A</t>
        </is>
      </c>
      <c r="K14" s="5" t="inlineStr">
        <is>
          <t>Uống thuốc huyết áp có làm yếu chuyện ấy? – tự đo ở nhà; quà Tết cho ba</t>
        </is>
      </c>
      <c r="L14" s="39" t="inlineStr">
        <is>
          <t>https://s.shopee.vn/W7Sw3QIXS</t>
        </is>
      </c>
      <c r="M14" s="39" t="inlineStr">
        <is>
          <t>https://s.shopee.vn/W7Sw3QIXS?sub_id=ChiGiang-Chung-FBReels-SP11</t>
        </is>
      </c>
      <c r="N14" s="39" t="inlineStr">
        <is>
          <t>D:\video-ai-aff\shopee-aff-crawler\storage\images\W7Sw3QIXS</t>
        </is>
      </c>
      <c r="O14" s="23" t="n">
        <v>5</v>
      </c>
      <c r="P14" s="5" t="n"/>
      <c r="Q14" s="26" t="inlineStr">
        <is>
          <t>Chưa kiểm tra</t>
        </is>
      </c>
      <c r="R14" s="14">
        <f>COUNTIF(KHO_KICH_BAN!$G$5:$G$404,A14)</f>
        <v/>
      </c>
      <c r="S14" s="14">
        <f>SUMIF(KHO_KICH_BAN!$G$5:$G$404,A14,KHO_KICH_BAN!$S$5:$S$404)</f>
        <v/>
      </c>
    </row>
    <row r="15" ht="42" customHeight="1">
      <c r="A15" s="24" t="n">
        <v>12</v>
      </c>
      <c r="B15" s="5" t="inlineStr">
        <is>
          <t>2. Bệnh nền</t>
        </is>
      </c>
      <c r="C15" s="4" t="inlineStr">
        <is>
          <t>Máy đo huyết áp AICARE X1 có giọng nói</t>
        </is>
      </c>
      <c r="D15" s="5" t="inlineStr">
        <is>
          <t>Máy Đo Huyết Áp Bắp Tay Tự Động Chính Hãng AICARE X1, Giọng Nói Tiếng Việt Dễ Sử Dụng Tại Nhà</t>
        </is>
      </c>
      <c r="E15" s="12" t="n">
        <v>289000</v>
      </c>
      <c r="F15" s="37" t="n">
        <v>0.025</v>
      </c>
      <c r="G15" s="12">
        <f>E15*F15</f>
        <v/>
      </c>
      <c r="H15" s="24" t="inlineStr">
        <is>
          <t>T3</t>
        </is>
      </c>
      <c r="I15" s="23" t="inlineStr">
        <is>
          <t>T5</t>
        </is>
      </c>
      <c r="J15" s="41" t="inlineStr">
        <is>
          <t>C</t>
        </is>
      </c>
      <c r="K15" s="5" t="inlineStr">
        <is>
          <t>Ba mẹ mắt kém tự đo, máy đọc to kết quả</t>
        </is>
      </c>
      <c r="L15" s="39" t="inlineStr">
        <is>
          <t>https://s.shopee.vn/9KirSKa8Oy</t>
        </is>
      </c>
      <c r="M15" s="39" t="inlineStr">
        <is>
          <t>https://s.shopee.vn/9KirSKa8Oy?sub_id=ChiGiang-Chung-FBReels-SP12</t>
        </is>
      </c>
      <c r="N15" s="39" t="inlineStr">
        <is>
          <t>D:\video-ai-aff\shopee-aff-crawler\storage\images\9KirSKa8Oy</t>
        </is>
      </c>
      <c r="O15" s="23" t="n">
        <v>5</v>
      </c>
      <c r="P15" s="5" t="inlineStr">
        <is>
          <t>Rẻ hơn Omron nhưng hoa hồng 2,5%</t>
        </is>
      </c>
      <c r="Q15" s="26" t="inlineStr">
        <is>
          <t>Chưa kiểm tra</t>
        </is>
      </c>
      <c r="R15" s="14">
        <f>COUNTIF(KHO_KICH_BAN!$G$5:$G$404,A15)</f>
        <v/>
      </c>
      <c r="S15" s="14">
        <f>SUMIF(KHO_KICH_BAN!$G$5:$G$404,A15,KHO_KICH_BAN!$S$5:$S$404)</f>
        <v/>
      </c>
    </row>
    <row r="16" ht="42" customHeight="1">
      <c r="A16" s="24" t="n">
        <v>13</v>
      </c>
      <c r="B16" s="5" t="inlineStr">
        <is>
          <t>2. Bệnh nền</t>
        </is>
      </c>
      <c r="C16" s="4" t="inlineStr">
        <is>
          <t>Viên dây thìa canh Diabetna (tiểu đường)</t>
        </is>
      </c>
      <c r="D16" s="5" t="inlineStr">
        <is>
          <t>Viên uống dây thìa canh Diabetna Ích Nhân dành cho người tiểu đường - giúp làm giảm đường huyết biến chứng hộp 120V</t>
        </is>
      </c>
      <c r="E16" s="12" t="n">
        <v>31000</v>
      </c>
      <c r="F16" s="37" t="n">
        <v>0.115</v>
      </c>
      <c r="G16" s="12">
        <f>E16*F16</f>
        <v/>
      </c>
      <c r="H16" s="24" t="inlineStr">
        <is>
          <t>T3</t>
        </is>
      </c>
      <c r="I16" s="23" t="inlineStr"/>
      <c r="J16" s="41" t="inlineStr">
        <is>
          <t>C</t>
        </is>
      </c>
      <c r="K16" s="5" t="inlineStr">
        <is>
          <t>Tiểu đường và chuyện ấy</t>
        </is>
      </c>
      <c r="L16" s="39" t="inlineStr">
        <is>
          <t>https://s.shopee.vn/3LReJLo8Kh</t>
        </is>
      </c>
      <c r="M16" s="39" t="inlineStr">
        <is>
          <t>https://s.shopee.vn/3LReJLo8Kh?sub_id=ChiGiang-Chung-FBReels-SP13</t>
        </is>
      </c>
      <c r="N16" s="39" t="inlineStr">
        <is>
          <t>D:\video-ai-aff\shopee-aff-crawler\storage\images\3LReJLo8Kh</t>
        </is>
      </c>
      <c r="O16" s="23" t="n">
        <v>5</v>
      </c>
      <c r="P16" s="5" t="n"/>
      <c r="Q16" s="26" t="inlineStr">
        <is>
          <t>Chưa kiểm tra</t>
        </is>
      </c>
      <c r="R16" s="14">
        <f>COUNTIF(KHO_KICH_BAN!$G$5:$G$404,A16)</f>
        <v/>
      </c>
      <c r="S16" s="14">
        <f>SUMIF(KHO_KICH_BAN!$G$5:$G$404,A16,KHO_KICH_BAN!$S$5:$S$404)</f>
        <v/>
      </c>
    </row>
    <row r="17" ht="42" customHeight="1">
      <c r="A17" s="24" t="n">
        <v>14</v>
      </c>
      <c r="B17" s="5" t="inlineStr">
        <is>
          <t>2. Bệnh nền</t>
        </is>
      </c>
      <c r="C17" s="4" t="inlineStr">
        <is>
          <t>Miếng dán chân Ông Lão Bắc Kinh</t>
        </is>
      </c>
      <c r="D17" s="5" t="inlineStr">
        <is>
          <t>Miếng Dán Chân Thải Độc Ông Lão Bắc Kinh Hộp, Giúp Ngủ Ngon Giảm Nhức Mỏi Thải Độc Chân Thanh Lọc Độc Tố Cơ Thể YDPharma</t>
        </is>
      </c>
      <c r="E17" s="12" t="n">
        <v>19900</v>
      </c>
      <c r="F17" s="37" t="n">
        <v>0.115</v>
      </c>
      <c r="G17" s="12">
        <f>E17*F17</f>
        <v/>
      </c>
      <c r="H17" s="24" t="inlineStr">
        <is>
          <t>T3</t>
        </is>
      </c>
      <c r="I17" s="23" t="inlineStr">
        <is>
          <t>T5</t>
        </is>
      </c>
      <c r="J17" s="41" t="inlineStr">
        <is>
          <t>C</t>
        </is>
      </c>
      <c r="K17" s="5" t="inlineStr">
        <is>
          <t>2 giờ sáng vẫn nằm đếm quạt trần</t>
        </is>
      </c>
      <c r="L17" s="39" t="inlineStr">
        <is>
          <t>https://s.shopee.vn/2VsXJrtSkF</t>
        </is>
      </c>
      <c r="M17" s="39" t="inlineStr">
        <is>
          <t>https://s.shopee.vn/2VsXJrtSkF?sub_id=ChiGiang-Chung-FBReels-SP14</t>
        </is>
      </c>
      <c r="N17" s="39" t="inlineStr">
        <is>
          <t>D:\video-ai-aff\shopee-aff-crawler\storage\images\2VsXJrtSkF</t>
        </is>
      </c>
      <c r="O17" s="23" t="n">
        <v>5</v>
      </c>
      <c r="P17" s="5" t="n"/>
      <c r="Q17" s="26" t="inlineStr">
        <is>
          <t>Chưa kiểm tra</t>
        </is>
      </c>
      <c r="R17" s="14">
        <f>COUNTIF(KHO_KICH_BAN!$G$5:$G$404,A17)</f>
        <v/>
      </c>
      <c r="S17" s="14">
        <f>SUMIF(KHO_KICH_BAN!$G$5:$G$404,A17,KHO_KICH_BAN!$S$5:$S$404)</f>
        <v/>
      </c>
    </row>
    <row r="18" ht="42" customHeight="1">
      <c r="A18" s="24" t="n">
        <v>15</v>
      </c>
      <c r="B18" s="5" t="inlineStr">
        <is>
          <t>2. Bệnh nền</t>
        </is>
      </c>
      <c r="C18" s="4" t="inlineStr">
        <is>
          <t>Viên magie hữu cơ + B6</t>
        </is>
      </c>
      <c r="D18" s="5" t="inlineStr">
        <is>
          <t>Viên Uống Bổ Sung Magie Hữu Cơ - Vitamin B6 - TPBVSK Giúp Giảm Căng Thẳng, Lo Âu, Chuột Rút, Đau Mỏi Cơ, Hỗ Trợ Giấc Ngủ</t>
        </is>
      </c>
      <c r="E18" s="12" t="n">
        <v>37000</v>
      </c>
      <c r="F18" s="37" t="n">
        <v>0.095</v>
      </c>
      <c r="G18" s="12">
        <f>E18*F18</f>
        <v/>
      </c>
      <c r="H18" s="24" t="inlineStr">
        <is>
          <t>T3</t>
        </is>
      </c>
      <c r="I18" s="23" t="inlineStr"/>
      <c r="J18" s="41" t="inlineStr">
        <is>
          <t>C</t>
        </is>
      </c>
      <c r="K18" s="5" t="inlineStr">
        <is>
          <t>Đêm chuột rút bắp chân, ngủ không sâu</t>
        </is>
      </c>
      <c r="L18" s="39" t="inlineStr">
        <is>
          <t>https://s.shopee.vn/1BN9jSjzRA</t>
        </is>
      </c>
      <c r="M18" s="39" t="inlineStr">
        <is>
          <t>https://s.shopee.vn/1BN9jSjzRA?sub_id=ChiGiang-Chung-FBReels-SP15</t>
        </is>
      </c>
      <c r="N18" s="39" t="inlineStr">
        <is>
          <t>D:\video-ai-aff\shopee-aff-crawler\storage\images\1BN9jSjzRA</t>
        </is>
      </c>
      <c r="O18" s="23" t="n">
        <v>5</v>
      </c>
      <c r="P18" s="5" t="n"/>
      <c r="Q18" s="26" t="inlineStr">
        <is>
          <t>Chưa kiểm tra</t>
        </is>
      </c>
      <c r="R18" s="14">
        <f>COUNTIF(KHO_KICH_BAN!$G$5:$G$404,A18)</f>
        <v/>
      </c>
      <c r="S18" s="14">
        <f>SUMIF(KHO_KICH_BAN!$G$5:$G$404,A18,KHO_KICH_BAN!$S$5:$S$404)</f>
        <v/>
      </c>
    </row>
    <row r="19" ht="42" customHeight="1">
      <c r="A19" s="24" t="n">
        <v>16</v>
      </c>
      <c r="B19" s="5" t="inlineStr">
        <is>
          <t>3. Ngoại hình &amp; tự tin</t>
        </is>
      </c>
      <c r="C19" s="4" t="inlineStr">
        <is>
          <t>Dầu gội phủ bạc Nezha 400ml</t>
        </is>
      </c>
      <c r="D19" s="5" t="inlineStr">
        <is>
          <t>Dầu gội phủ bạc Nezha 400ml chính hãng. Dầu gội nhuộm tóc ĐEN, NÂU bền màu. Dưỡng Tóc Chăm Sóc Tóc Nam Nữ</t>
        </is>
      </c>
      <c r="E19" s="12" t="n">
        <v>120000</v>
      </c>
      <c r="F19" s="37" t="n">
        <v>0.145</v>
      </c>
      <c r="G19" s="12">
        <f>E19*F19</f>
        <v/>
      </c>
      <c r="H19" s="24" t="inlineStr">
        <is>
          <t>T4</t>
        </is>
      </c>
      <c r="I19" s="23" t="inlineStr">
        <is>
          <t>T5</t>
        </is>
      </c>
      <c r="J19" s="38" t="inlineStr">
        <is>
          <t>B</t>
        </is>
      </c>
      <c r="K19" s="5" t="inlineStr">
        <is>
          <t>Tóc bạc trắng đầu, vợ chê già – gội 1 lần là đen</t>
        </is>
      </c>
      <c r="L19" s="39" t="inlineStr">
        <is>
          <t>https://s.shopee.vn/40hL6imMMV</t>
        </is>
      </c>
      <c r="M19" s="39" t="inlineStr">
        <is>
          <t>https://s.shopee.vn/40hL6imMMV?sub_id=ChiGiang-Chung-FBReels-SP16</t>
        </is>
      </c>
      <c r="N19" s="39" t="inlineStr">
        <is>
          <t>D:\video-ai-aff\shopee-aff-crawler\storage\images\40hL6imMMV</t>
        </is>
      </c>
      <c r="O19" s="23" t="n">
        <v>4</v>
      </c>
      <c r="P19" s="5" t="n"/>
      <c r="Q19" s="26" t="inlineStr">
        <is>
          <t>Chưa kiểm tra</t>
        </is>
      </c>
      <c r="R19" s="14">
        <f>COUNTIF(KHO_KICH_BAN!$G$5:$G$404,A19)</f>
        <v/>
      </c>
      <c r="S19" s="14">
        <f>SUMIF(KHO_KICH_BAN!$G$5:$G$404,A19,KHO_KICH_BAN!$S$5:$S$404)</f>
        <v/>
      </c>
    </row>
    <row r="20" ht="42" customHeight="1">
      <c r="A20" s="24" t="n">
        <v>17</v>
      </c>
      <c r="B20" s="5" t="inlineStr">
        <is>
          <t>3. Ngoại hình &amp; tự tin</t>
        </is>
      </c>
      <c r="C20" s="4" t="inlineStr">
        <is>
          <t>Dầu gội phủ bạc thảo dược Kim Thảo (nâu coffee)</t>
        </is>
      </c>
      <c r="D20" s="5" t="inlineStr">
        <is>
          <t>Dầu gội Nhuộm tóc thảo dược Màu Nâu Coffee phủ bạc KIM THẢO chính hãng Lên màu tự nhiên, an toàn chuẩn salon tại nhà</t>
        </is>
      </c>
      <c r="E20" s="12" t="n">
        <v>19500</v>
      </c>
      <c r="F20" s="37" t="n">
        <v>0.185</v>
      </c>
      <c r="G20" s="12">
        <f>E20*F20</f>
        <v/>
      </c>
      <c r="H20" s="24" t="inlineStr">
        <is>
          <t>T4</t>
        </is>
      </c>
      <c r="I20" s="23" t="inlineStr"/>
      <c r="J20" s="41" t="inlineStr">
        <is>
          <t>C</t>
        </is>
      </c>
      <c r="K20" s="5" t="inlineStr">
        <is>
          <t>Ngại ra tiệm nhuộm: gội phủ bạc tại nhà, màu nâu tự nhiên</t>
        </is>
      </c>
      <c r="L20" s="39" t="inlineStr">
        <is>
          <t>https://s.shopee.vn/4qGS6IXjTc</t>
        </is>
      </c>
      <c r="M20" s="39" t="inlineStr">
        <is>
          <t>https://s.shopee.vn/4qGS6IXjTc?sub_id=ChiGiang-Chung-FBReels-SP17</t>
        </is>
      </c>
      <c r="N20" s="39" t="inlineStr">
        <is>
          <t>D:\video-ai-aff\shopee-aff-crawler\storage\images\4qGS6IXjTc</t>
        </is>
      </c>
      <c r="O20" s="23" t="n">
        <v>5</v>
      </c>
      <c r="P20" s="5" t="inlineStr">
        <is>
          <t>Crawl tìm bút phủ bạc nhưng ra dầu gội Kim Thảo – vẫn hợp chủ đề</t>
        </is>
      </c>
      <c r="Q20" s="26" t="inlineStr">
        <is>
          <t>Chưa kiểm tra</t>
        </is>
      </c>
      <c r="R20" s="14">
        <f>COUNTIF(KHO_KICH_BAN!$G$5:$G$404,A20)</f>
        <v/>
      </c>
      <c r="S20" s="14">
        <f>SUMIF(KHO_KICH_BAN!$G$5:$G$404,A20,KHO_KICH_BAN!$S$5:$S$404)</f>
        <v/>
      </c>
    </row>
    <row r="21" ht="42" customHeight="1">
      <c r="A21" s="24" t="n">
        <v>18</v>
      </c>
      <c r="B21" s="5" t="inlineStr">
        <is>
          <t>3. Ngoại hình &amp; tự tin</t>
        </is>
      </c>
      <c r="C21" s="4" t="inlineStr">
        <is>
          <t>Quần boxer nam thông hơi Natural Breath (combo 3)</t>
        </is>
      </c>
      <c r="D21" s="5" t="inlineStr">
        <is>
          <t>Quần boxer nam sịp đùi thông hơi thoáng mát combo 3 quần NATURAL BREATH trunk modal gỗ sồi BOXERMAN</t>
        </is>
      </c>
      <c r="E21" s="12" t="n">
        <v>249430</v>
      </c>
      <c r="F21" s="37" t="n">
        <v>0.17</v>
      </c>
      <c r="G21" s="12">
        <f>E21*F21</f>
        <v/>
      </c>
      <c r="H21" s="24" t="inlineStr">
        <is>
          <t>T4</t>
        </is>
      </c>
      <c r="I21" s="23" t="inlineStr"/>
      <c r="J21" s="40" t="inlineStr">
        <is>
          <t>A</t>
        </is>
      </c>
      <c r="K21" s="5" t="inlineStr">
        <is>
          <t>Tài xế, ngồi nhiều: vùng kín nóng bí, quần chật</t>
        </is>
      </c>
      <c r="L21" s="39" t="inlineStr">
        <is>
          <t>https://s.shopee.vn/9V2Hev1YVq</t>
        </is>
      </c>
      <c r="M21" s="39" t="inlineStr">
        <is>
          <t>https://s.shopee.vn/9V2Hev1YVq?sub_id=ChiGiang-Chung-FBReels-SP18</t>
        </is>
      </c>
      <c r="N21" s="39" t="inlineStr">
        <is>
          <t>D:\video-ai-aff\shopee-aff-crawler\storage\images\9V2Hev1YVq</t>
        </is>
      </c>
      <c r="O21" s="23" t="n">
        <v>5</v>
      </c>
      <c r="P21" s="5" t="n"/>
      <c r="Q21" s="26" t="inlineStr">
        <is>
          <t>Chưa kiểm tra</t>
        </is>
      </c>
      <c r="R21" s="14">
        <f>COUNTIF(KHO_KICH_BAN!$G$5:$G$404,A21)</f>
        <v/>
      </c>
      <c r="S21" s="14">
        <f>SUMIF(KHO_KICH_BAN!$G$5:$G$404,A21,KHO_KICH_BAN!$S$5:$S$404)</f>
        <v/>
      </c>
    </row>
    <row r="22" ht="42" customHeight="1">
      <c r="A22" s="24" t="n">
        <v>19</v>
      </c>
      <c r="B22" s="5" t="inlineStr">
        <is>
          <t>4. Đời sống</t>
        </is>
      </c>
      <c r="C22" s="4" t="inlineStr">
        <is>
          <t>Đai lưng tự nóng Kazumi</t>
        </is>
      </c>
      <c r="D22" s="5" t="inlineStr">
        <is>
          <t>Đai lưng tự nóng KAZUMI  hỗ trợ cột sống giảm đau mỏi và hỗ trợ thoát vị đĩa đệm hiệu quả - Bản POR</t>
        </is>
      </c>
      <c r="E22" s="12" t="n">
        <v>202000</v>
      </c>
      <c r="F22" s="37" t="n">
        <v>0.105</v>
      </c>
      <c r="G22" s="12">
        <f>E22*F22</f>
        <v/>
      </c>
      <c r="H22" s="24" t="inlineStr">
        <is>
          <t>T3</t>
        </is>
      </c>
      <c r="I22" s="23" t="inlineStr">
        <is>
          <t>T5</t>
        </is>
      </c>
      <c r="J22" s="40" t="inlineStr">
        <is>
          <t>A</t>
        </is>
      </c>
      <c r="K22" s="5" t="inlineStr">
        <is>
          <t>Đau lưng, thoát vị, mỏi lưng mùa lạnh</t>
        </is>
      </c>
      <c r="L22" s="39" t="inlineStr">
        <is>
          <t>https://s.shopee.vn/113jXLfZSC</t>
        </is>
      </c>
      <c r="M22" s="39" t="inlineStr">
        <is>
          <t>https://s.shopee.vn/113jXLfZSC?sub_id=ChiGiang-Chung-FBReels-SP19</t>
        </is>
      </c>
      <c r="N22" s="39" t="inlineStr">
        <is>
          <t>D:\video-ai-aff\shopee-aff-crawler\storage\images\113jXLfZSC</t>
        </is>
      </c>
      <c r="O22" s="23" t="n">
        <v>4</v>
      </c>
      <c r="P22" s="5" t="n"/>
      <c r="Q22" s="26" t="inlineStr">
        <is>
          <t>Chưa kiểm tra</t>
        </is>
      </c>
      <c r="R22" s="14">
        <f>COUNTIF(KHO_KICH_BAN!$G$5:$G$404,A22)</f>
        <v/>
      </c>
      <c r="S22" s="14">
        <f>SUMIF(KHO_KICH_BAN!$G$5:$G$404,A22,KHO_KICH_BAN!$S$5:$S$404)</f>
        <v/>
      </c>
    </row>
    <row r="23" ht="42" customHeight="1">
      <c r="A23" s="24" t="n">
        <v>20</v>
      </c>
      <c r="B23" s="5" t="inlineStr">
        <is>
          <t>4. Đời sống</t>
        </is>
      </c>
      <c r="C23" s="4" t="inlineStr">
        <is>
          <t>Gối massage hồng ngoại Kingtech KP-315</t>
        </is>
      </c>
      <c r="D23" s="5" t="inlineStr">
        <is>
          <t>Gối Massage Nhiệt Hồng Ngoại Cao Cấp KINGTECH KP-315 - 4 Bóng Xoay - Chuyên Sâu Cổ Vai Gáy, Thắt Lưng - Chính Hãng</t>
        </is>
      </c>
      <c r="E23" s="12" t="n">
        <v>675540</v>
      </c>
      <c r="F23" s="37" t="n">
        <v>0.045</v>
      </c>
      <c r="G23" s="12">
        <f>E23*F23</f>
        <v/>
      </c>
      <c r="H23" s="24" t="inlineStr">
        <is>
          <t>T5</t>
        </is>
      </c>
      <c r="I23" s="23" t="inlineStr">
        <is>
          <t>T2</t>
        </is>
      </c>
      <c r="J23" s="40" t="inlineStr">
        <is>
          <t>A</t>
        </is>
      </c>
      <c r="K23" s="5" t="inlineStr">
        <is>
          <t>Cổ vai gáy cứng đơ; quà cho ba, chồng tặng vợ</t>
        </is>
      </c>
      <c r="L23" s="39" t="inlineStr">
        <is>
          <t>https://s.shopee.vn/1LgZw0Yxv6</t>
        </is>
      </c>
      <c r="M23" s="39" t="inlineStr">
        <is>
          <t>https://s.shopee.vn/1LgZw0Yxv6?sub_id=ChiGiang-Chung-FBReels-SP20</t>
        </is>
      </c>
      <c r="N23" s="39" t="inlineStr">
        <is>
          <t>D:\video-ai-aff\shopee-aff-crawler\storage\images\1LgZw0Yxv6</t>
        </is>
      </c>
      <c r="O23" s="23" t="n">
        <v>5</v>
      </c>
      <c r="P23" s="5" t="n"/>
      <c r="Q23" s="26" t="inlineStr">
        <is>
          <t>Chưa kiểm tra</t>
        </is>
      </c>
      <c r="R23" s="14">
        <f>COUNTIF(KHO_KICH_BAN!$G$5:$G$404,A23)</f>
        <v/>
      </c>
      <c r="S23" s="14">
        <f>SUMIF(KHO_KICH_BAN!$G$5:$G$404,A23,KHO_KICH_BAN!$S$5:$S$404)</f>
        <v/>
      </c>
    </row>
    <row r="24" ht="42" customHeight="1">
      <c r="A24" s="24" t="n">
        <v>21</v>
      </c>
      <c r="B24" s="5" t="inlineStr">
        <is>
          <t>4. Đời sống</t>
        </is>
      </c>
      <c r="C24" s="4" t="inlineStr">
        <is>
          <t>Máy massage cầm tay mini</t>
        </is>
      </c>
      <c r="D24" s="5" t="inlineStr">
        <is>
          <t>Máy Massage Cầm Tay Mini, Súng Massage Cầm Tay Mini Toàn Thân 6 Cấp Độ Chuyên Sâu Đa Năng - HKDOTI</t>
        </is>
      </c>
      <c r="E24" s="12" t="n">
        <v>120000</v>
      </c>
      <c r="F24" s="37" t="n">
        <v>0.025</v>
      </c>
      <c r="G24" s="12">
        <f>E24*F24</f>
        <v/>
      </c>
      <c r="H24" s="24" t="inlineStr">
        <is>
          <t>T5</t>
        </is>
      </c>
      <c r="I24" s="23" t="inlineStr">
        <is>
          <t>T2</t>
        </is>
      </c>
      <c r="J24" s="41" t="inlineStr">
        <is>
          <t>C</t>
        </is>
      </c>
      <c r="K24" s="5" t="inlineStr">
        <is>
          <t>Chồng massage cho vợ – quà 20/10</t>
        </is>
      </c>
      <c r="L24" s="39" t="inlineStr">
        <is>
          <t>https://s.shopee.vn/2gBxWVFPSZ</t>
        </is>
      </c>
      <c r="M24" s="39" t="inlineStr">
        <is>
          <t>https://s.shopee.vn/2gBxWVFPSZ?sub_id=ChiGiang-Chung-FBReels-SP21</t>
        </is>
      </c>
      <c r="N24" s="39" t="inlineStr">
        <is>
          <t>D:\video-ai-aff\shopee-aff-crawler\storage\images\2gBxWVFPSZ</t>
        </is>
      </c>
      <c r="O24" s="23" t="n">
        <v>5</v>
      </c>
      <c r="P24" s="5" t="n"/>
      <c r="Q24" s="26" t="inlineStr">
        <is>
          <t>Chưa kiểm tra</t>
        </is>
      </c>
      <c r="R24" s="14">
        <f>COUNTIF(KHO_KICH_BAN!$G$5:$G$404,A24)</f>
        <v/>
      </c>
      <c r="S24" s="14">
        <f>SUMIF(KHO_KICH_BAN!$G$5:$G$404,A24,KHO_KICH_BAN!$S$5:$S$404)</f>
        <v/>
      </c>
    </row>
    <row r="25" ht="42" customHeight="1">
      <c r="A25" s="24" t="n">
        <v>22</v>
      </c>
      <c r="B25" s="5" t="inlineStr">
        <is>
          <t>4. Đời sống</t>
        </is>
      </c>
      <c r="C25" s="4" t="inlineStr">
        <is>
          <t>Kềm cắt móng Kềm Nghĩa M.401</t>
        </is>
      </c>
      <c r="D25" s="5" t="inlineStr">
        <is>
          <t>Kềm Nghĩa Kềm Cắt Móng M.401 Thiết Kế Lưỡi Kềm Mỏ Vịt Hỗ Trợ Cắt Móng Quặp và Tay Cầm Mạ Mờ</t>
        </is>
      </c>
      <c r="E25" s="12" t="n">
        <v>88000</v>
      </c>
      <c r="F25" s="37" t="n">
        <v>0.025</v>
      </c>
      <c r="G25" s="12">
        <f>E25*F25</f>
        <v/>
      </c>
      <c r="H25" s="24" t="inlineStr">
        <is>
          <t>T5</t>
        </is>
      </c>
      <c r="I25" s="23" t="inlineStr"/>
      <c r="J25" s="41" t="inlineStr">
        <is>
          <t>C</t>
        </is>
      </c>
      <c r="K25" s="5" t="inlineStr">
        <is>
          <t>Móng chân dày, quặp, cắt không nổi</t>
        </is>
      </c>
      <c r="L25" s="39" t="inlineStr">
        <is>
          <t>https://s.shopee.vn/AUuoqwSmIs</t>
        </is>
      </c>
      <c r="M25" s="39" t="inlineStr">
        <is>
          <t>https://s.shopee.vn/AUuoqwSmIs?sub_id=ChiGiang-Chung-FBReels-SP22</t>
        </is>
      </c>
      <c r="N25" s="39" t="inlineStr">
        <is>
          <t>D:\video-ai-aff\shopee-aff-crawler\storage\images\AUuoqwSmIs</t>
        </is>
      </c>
      <c r="O25" s="23" t="n">
        <v>4</v>
      </c>
      <c r="P25" s="5" t="n"/>
      <c r="Q25" s="26" t="inlineStr">
        <is>
          <t>Chưa kiểm tra</t>
        </is>
      </c>
      <c r="R25" s="14">
        <f>COUNTIF(KHO_KICH_BAN!$G$5:$G$404,A25)</f>
        <v/>
      </c>
      <c r="S25" s="14">
        <f>SUMIF(KHO_KICH_BAN!$G$5:$G$404,A25,KHO_KICH_BAN!$S$5:$S$404)</f>
        <v/>
      </c>
    </row>
    <row r="26" ht="42" customHeight="1">
      <c r="A26" s="24" t="n">
        <v>23</v>
      </c>
      <c r="B26" s="5" t="inlineStr">
        <is>
          <t>4. Đời sống</t>
        </is>
      </c>
      <c r="C26" s="4" t="inlineStr">
        <is>
          <t>Trà mâm xôi sâm tố nữ A Nam</t>
        </is>
      </c>
      <c r="D26" s="5" t="inlineStr">
        <is>
          <t>Trà Mâm Xôi 4 Vị Tiệm Trà A NAM - Sâm Tố Nữ &amp; Lá Mâm Xôi Khô, Hỗ Trợ Bổ Huyết Điều Kinh Đẹp Da. 1</t>
        </is>
      </c>
      <c r="E26" s="12" t="n">
        <v>7200</v>
      </c>
      <c r="F26" s="37" t="n">
        <v>0.125</v>
      </c>
      <c r="G26" s="12">
        <f>E26*F26</f>
        <v/>
      </c>
      <c r="H26" s="24" t="inlineStr">
        <is>
          <t>T2</t>
        </is>
      </c>
      <c r="I26" s="23" t="inlineStr"/>
      <c r="J26" s="41" t="inlineStr">
        <is>
          <t>C</t>
        </is>
      </c>
      <c r="K26" s="5" t="inlineStr">
        <is>
          <t>Vợ tiền mãn kinh hay cáu, bốc hỏa – chồng mua tặng vợ</t>
        </is>
      </c>
      <c r="L26" s="39" t="inlineStr">
        <is>
          <t>https://s.shopee.vn/30onvCyWAQ</t>
        </is>
      </c>
      <c r="M26" s="39" t="inlineStr">
        <is>
          <t>https://s.shopee.vn/30onvCyWAQ?sub_id=ChiGiang-Chung-FBReels-SP23</t>
        </is>
      </c>
      <c r="N26" s="39" t="inlineStr">
        <is>
          <t>D:\video-ai-aff\shopee-aff-crawler\storage\images\30onvCyWAQ</t>
        </is>
      </c>
      <c r="O26" s="23" t="n">
        <v>5</v>
      </c>
      <c r="P26" s="5" t="n"/>
      <c r="Q26" s="26" t="inlineStr">
        <is>
          <t>Chưa kiểm tra</t>
        </is>
      </c>
      <c r="R26" s="14">
        <f>COUNTIF(KHO_KICH_BAN!$G$5:$G$404,A26)</f>
        <v/>
      </c>
      <c r="S26" s="14">
        <f>SUMIF(KHO_KICH_BAN!$G$5:$G$404,A26,KHO_KICH_BAN!$S$5:$S$404)</f>
        <v/>
      </c>
    </row>
  </sheetData>
  <autoFilter ref="A4:S26"/>
  <conditionalFormatting sqref="Q5:Q26">
    <cfRule type="cellIs" priority="1" operator="equal" dxfId="0">
      <formula>"Cần sửa"</formula>
    </cfRule>
    <cfRule type="cellIs" priority="2" operator="equal" dxfId="2">
      <formula>"OK"</formula>
    </cfRule>
  </conditionalFormatting>
  <dataValidations count="3">
    <dataValidation sqref="Q5:Q26" showDropDown="0" showInputMessage="0" showErrorMessage="0" allowBlank="1" type="list">
      <formula1>"Chưa kiểm tra,OK,Cần sửa,Đã thay link"</formula1>
    </dataValidation>
    <dataValidation sqref="J5:J26" showDropDown="0" showInputMessage="0" showErrorMessage="0" allowBlank="1" type="list">
      <formula1>"A,B,C"</formula1>
    </dataValidation>
    <dataValidation sqref="H5:I26" showDropDown="0" showInputMessage="0" showErrorMessage="0" allowBlank="1" type="list">
      <formula1>"T1,T2,T3,T4,T5"</formula1>
    </dataValidation>
  </dataValidations>
  <hyperlinks>
    <hyperlink xmlns:r="http://schemas.openxmlformats.org/officeDocument/2006/relationships" ref="L5" r:id="rId1"/>
    <hyperlink xmlns:r="http://schemas.openxmlformats.org/officeDocument/2006/relationships" ref="M5" r:id="rId2"/>
    <hyperlink xmlns:r="http://schemas.openxmlformats.org/officeDocument/2006/relationships" ref="N5" r:id="rId3"/>
    <hyperlink xmlns:r="http://schemas.openxmlformats.org/officeDocument/2006/relationships" ref="L6" r:id="rId4"/>
    <hyperlink xmlns:r="http://schemas.openxmlformats.org/officeDocument/2006/relationships" ref="M6" r:id="rId5"/>
    <hyperlink xmlns:r="http://schemas.openxmlformats.org/officeDocument/2006/relationships" ref="N6" r:id="rId6"/>
    <hyperlink xmlns:r="http://schemas.openxmlformats.org/officeDocument/2006/relationships" ref="L7" r:id="rId7"/>
    <hyperlink xmlns:r="http://schemas.openxmlformats.org/officeDocument/2006/relationships" ref="M7" r:id="rId8"/>
    <hyperlink xmlns:r="http://schemas.openxmlformats.org/officeDocument/2006/relationships" ref="N7" r:id="rId9"/>
    <hyperlink xmlns:r="http://schemas.openxmlformats.org/officeDocument/2006/relationships" ref="L8" r:id="rId10"/>
    <hyperlink xmlns:r="http://schemas.openxmlformats.org/officeDocument/2006/relationships" ref="M8" r:id="rId11"/>
    <hyperlink xmlns:r="http://schemas.openxmlformats.org/officeDocument/2006/relationships" ref="N8" r:id="rId12"/>
    <hyperlink xmlns:r="http://schemas.openxmlformats.org/officeDocument/2006/relationships" ref="L9" r:id="rId13"/>
    <hyperlink xmlns:r="http://schemas.openxmlformats.org/officeDocument/2006/relationships" ref="M9" r:id="rId14"/>
    <hyperlink xmlns:r="http://schemas.openxmlformats.org/officeDocument/2006/relationships" ref="N9" r:id="rId15"/>
    <hyperlink xmlns:r="http://schemas.openxmlformats.org/officeDocument/2006/relationships" ref="L10" r:id="rId16"/>
    <hyperlink xmlns:r="http://schemas.openxmlformats.org/officeDocument/2006/relationships" ref="M10" r:id="rId17"/>
    <hyperlink xmlns:r="http://schemas.openxmlformats.org/officeDocument/2006/relationships" ref="N10" r:id="rId18"/>
    <hyperlink xmlns:r="http://schemas.openxmlformats.org/officeDocument/2006/relationships" ref="L11" r:id="rId19"/>
    <hyperlink xmlns:r="http://schemas.openxmlformats.org/officeDocument/2006/relationships" ref="M11" r:id="rId20"/>
    <hyperlink xmlns:r="http://schemas.openxmlformats.org/officeDocument/2006/relationships" ref="N11" r:id="rId21"/>
    <hyperlink xmlns:r="http://schemas.openxmlformats.org/officeDocument/2006/relationships" ref="L12" r:id="rId22"/>
    <hyperlink xmlns:r="http://schemas.openxmlformats.org/officeDocument/2006/relationships" ref="M12" r:id="rId23"/>
    <hyperlink xmlns:r="http://schemas.openxmlformats.org/officeDocument/2006/relationships" ref="N12" r:id="rId24"/>
    <hyperlink xmlns:r="http://schemas.openxmlformats.org/officeDocument/2006/relationships" ref="L13" r:id="rId25"/>
    <hyperlink xmlns:r="http://schemas.openxmlformats.org/officeDocument/2006/relationships" ref="M13" r:id="rId26"/>
    <hyperlink xmlns:r="http://schemas.openxmlformats.org/officeDocument/2006/relationships" ref="N13" r:id="rId27"/>
    <hyperlink xmlns:r="http://schemas.openxmlformats.org/officeDocument/2006/relationships" ref="L14" r:id="rId28"/>
    <hyperlink xmlns:r="http://schemas.openxmlformats.org/officeDocument/2006/relationships" ref="M14" r:id="rId29"/>
    <hyperlink xmlns:r="http://schemas.openxmlformats.org/officeDocument/2006/relationships" ref="N14" r:id="rId30"/>
    <hyperlink xmlns:r="http://schemas.openxmlformats.org/officeDocument/2006/relationships" ref="L15" r:id="rId31"/>
    <hyperlink xmlns:r="http://schemas.openxmlformats.org/officeDocument/2006/relationships" ref="M15" r:id="rId32"/>
    <hyperlink xmlns:r="http://schemas.openxmlformats.org/officeDocument/2006/relationships" ref="N15" r:id="rId33"/>
    <hyperlink xmlns:r="http://schemas.openxmlformats.org/officeDocument/2006/relationships" ref="L16" r:id="rId34"/>
    <hyperlink xmlns:r="http://schemas.openxmlformats.org/officeDocument/2006/relationships" ref="M16" r:id="rId35"/>
    <hyperlink xmlns:r="http://schemas.openxmlformats.org/officeDocument/2006/relationships" ref="N16" r:id="rId36"/>
    <hyperlink xmlns:r="http://schemas.openxmlformats.org/officeDocument/2006/relationships" ref="L17" r:id="rId37"/>
    <hyperlink xmlns:r="http://schemas.openxmlformats.org/officeDocument/2006/relationships" ref="M17" r:id="rId38"/>
    <hyperlink xmlns:r="http://schemas.openxmlformats.org/officeDocument/2006/relationships" ref="N17" r:id="rId39"/>
    <hyperlink xmlns:r="http://schemas.openxmlformats.org/officeDocument/2006/relationships" ref="L18" r:id="rId40"/>
    <hyperlink xmlns:r="http://schemas.openxmlformats.org/officeDocument/2006/relationships" ref="M18" r:id="rId41"/>
    <hyperlink xmlns:r="http://schemas.openxmlformats.org/officeDocument/2006/relationships" ref="N18" r:id="rId42"/>
    <hyperlink xmlns:r="http://schemas.openxmlformats.org/officeDocument/2006/relationships" ref="L19" r:id="rId43"/>
    <hyperlink xmlns:r="http://schemas.openxmlformats.org/officeDocument/2006/relationships" ref="M19" r:id="rId44"/>
    <hyperlink xmlns:r="http://schemas.openxmlformats.org/officeDocument/2006/relationships" ref="N19" r:id="rId45"/>
    <hyperlink xmlns:r="http://schemas.openxmlformats.org/officeDocument/2006/relationships" ref="L20" r:id="rId46"/>
    <hyperlink xmlns:r="http://schemas.openxmlformats.org/officeDocument/2006/relationships" ref="M20" r:id="rId47"/>
    <hyperlink xmlns:r="http://schemas.openxmlformats.org/officeDocument/2006/relationships" ref="N20" r:id="rId48"/>
    <hyperlink xmlns:r="http://schemas.openxmlformats.org/officeDocument/2006/relationships" ref="L21" r:id="rId49"/>
    <hyperlink xmlns:r="http://schemas.openxmlformats.org/officeDocument/2006/relationships" ref="M21" r:id="rId50"/>
    <hyperlink xmlns:r="http://schemas.openxmlformats.org/officeDocument/2006/relationships" ref="N21" r:id="rId51"/>
    <hyperlink xmlns:r="http://schemas.openxmlformats.org/officeDocument/2006/relationships" ref="L22" r:id="rId52"/>
    <hyperlink xmlns:r="http://schemas.openxmlformats.org/officeDocument/2006/relationships" ref="M22" r:id="rId53"/>
    <hyperlink xmlns:r="http://schemas.openxmlformats.org/officeDocument/2006/relationships" ref="N22" r:id="rId54"/>
    <hyperlink xmlns:r="http://schemas.openxmlformats.org/officeDocument/2006/relationships" ref="L23" r:id="rId55"/>
    <hyperlink xmlns:r="http://schemas.openxmlformats.org/officeDocument/2006/relationships" ref="M23" r:id="rId56"/>
    <hyperlink xmlns:r="http://schemas.openxmlformats.org/officeDocument/2006/relationships" ref="N23" r:id="rId57"/>
    <hyperlink xmlns:r="http://schemas.openxmlformats.org/officeDocument/2006/relationships" ref="L24" r:id="rId58"/>
    <hyperlink xmlns:r="http://schemas.openxmlformats.org/officeDocument/2006/relationships" ref="M24" r:id="rId59"/>
    <hyperlink xmlns:r="http://schemas.openxmlformats.org/officeDocument/2006/relationships" ref="N24" r:id="rId60"/>
    <hyperlink xmlns:r="http://schemas.openxmlformats.org/officeDocument/2006/relationships" ref="L25" r:id="rId61"/>
    <hyperlink xmlns:r="http://schemas.openxmlformats.org/officeDocument/2006/relationships" ref="M25" r:id="rId62"/>
    <hyperlink xmlns:r="http://schemas.openxmlformats.org/officeDocument/2006/relationships" ref="N25" r:id="rId63"/>
    <hyperlink xmlns:r="http://schemas.openxmlformats.org/officeDocument/2006/relationships" ref="L26" r:id="rId64"/>
    <hyperlink xmlns:r="http://schemas.openxmlformats.org/officeDocument/2006/relationships" ref="M26" r:id="rId65"/>
    <hyperlink xmlns:r="http://schemas.openxmlformats.org/officeDocument/2006/relationships" ref="N26" r:id="rId66"/>
  </hyperlinks>
  <pageMargins left="0.75" right="0.75" top="1" bottom="1" header="0.5" footer="0.5"/>
</worksheet>
</file>

<file path=xl/worksheets/sheet9.xml><?xml version="1.0" encoding="utf-8"?>
<worksheet xmlns="http://schemas.openxmlformats.org/spreadsheetml/2006/main">
  <sheetPr>
    <tabColor rgb="00DB2777"/>
    <outlinePr summaryBelow="1" summaryRight="1"/>
    <pageSetUpPr/>
  </sheetPr>
  <dimension ref="A1:T40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8" customWidth="1" min="3" max="3"/>
    <col width="40" customWidth="1" min="4" max="4"/>
    <col width="40" customWidth="1" min="5" max="5"/>
    <col width="26" customWidth="1" min="6" max="6"/>
    <col width="7" customWidth="1" min="7" max="7"/>
    <col width="34" customWidth="1" min="8" max="8"/>
    <col width="44" customWidth="1" min="9" max="9"/>
    <col width="26" customWidth="1" min="10" max="10"/>
    <col width="14" customWidth="1" min="11" max="11"/>
    <col width="14" customWidth="1" min="12" max="12"/>
    <col width="14" customWidth="1" min="13" max="13"/>
    <col width="11" customWidth="1" min="14" max="14"/>
    <col width="9" customWidth="1" min="15" max="15"/>
    <col width="24" customWidth="1" min="16" max="16"/>
    <col width="9" customWidth="1" min="17" max="17"/>
    <col width="8" customWidth="1" min="18" max="18"/>
    <col width="7" customWidth="1" min="19" max="19"/>
    <col width="24" customWidth="1" min="20" max="20"/>
  </cols>
  <sheetData>
    <row r="1">
      <c r="A1" s="1" t="inlineStr">
        <is>
          <t>KHO KỊCH BẢN &amp; THEO DÕI TỪNG VIDEO</t>
        </is>
      </c>
    </row>
    <row r="2">
      <c r="A2" s="2" t="inlineStr">
        <is>
          <t>Mỗi dòng = 1 video. Nhập Mã SP → tên SP, link kèm Sub_id riêng của video, thư mục ảnh tự hiện. Dán link cột I vào bình luận gốc. Dòng 5 là dòng ví dụ.</t>
        </is>
      </c>
    </row>
    <row r="4" ht="30" customHeight="1">
      <c r="A4" s="13" t="inlineStr">
        <is>
          <t>ID</t>
        </is>
      </c>
      <c r="B4" s="13" t="inlineStr">
        <is>
          <t>Trụ cột</t>
        </is>
      </c>
      <c r="C4" s="13" t="inlineStr">
        <is>
          <t>Loại video</t>
        </is>
      </c>
      <c r="D4" s="13" t="inlineStr">
        <is>
          <t>Tiêu đề / câu hỏi</t>
        </is>
      </c>
      <c r="E4" s="13" t="inlineStr">
        <is>
          <t>Hook 3 giây</t>
        </is>
      </c>
      <c r="F4" s="13" t="inlineStr">
        <is>
          <t>Bối cảnh</t>
        </is>
      </c>
      <c r="G4" s="13" t="inlineStr">
        <is>
          <t>Mã SP</t>
        </is>
      </c>
      <c r="H4" s="13" t="inlineStr">
        <is>
          <t>Tên SP (tự động)</t>
        </is>
      </c>
      <c r="I4" s="13" t="inlineStr">
        <is>
          <t>Link kèm Sub_id của video (tự động)</t>
        </is>
      </c>
      <c r="J4" s="13" t="inlineStr">
        <is>
          <t>Thư mục ảnh (tự động)</t>
        </is>
      </c>
      <c r="K4" s="13" t="inlineStr">
        <is>
          <t>Biên kịch</t>
        </is>
      </c>
      <c r="L4" s="13" t="inlineStr">
        <is>
          <t>Người sản xuất</t>
        </is>
      </c>
      <c r="M4" s="13" t="inlineStr">
        <is>
          <t>Trạng thái</t>
        </is>
      </c>
      <c r="N4" s="13" t="inlineStr">
        <is>
          <t>Ngày đăng</t>
        </is>
      </c>
      <c r="O4" s="13" t="inlineStr">
        <is>
          <t>Khung giờ</t>
        </is>
      </c>
      <c r="P4" s="13" t="inlineStr">
        <is>
          <t>Link bài đăng</t>
        </is>
      </c>
      <c r="Q4" s="13" t="inlineStr">
        <is>
          <t>View</t>
        </is>
      </c>
      <c r="R4" s="13" t="inlineStr">
        <is>
          <t>Click</t>
        </is>
      </c>
      <c r="S4" s="13" t="inlineStr">
        <is>
          <t>Đơn</t>
        </is>
      </c>
      <c r="T4" s="13" t="inlineStr">
        <is>
          <t>Ghi chú</t>
        </is>
      </c>
    </row>
    <row r="5">
      <c r="A5" s="26" t="inlineStr">
        <is>
          <t>T1-001</t>
        </is>
      </c>
      <c r="B5" s="26" t="inlineStr">
        <is>
          <t>T1</t>
        </is>
      </c>
      <c r="C5" s="7" t="inlineStr">
        <is>
          <t>Hỏi đáp gắn SP</t>
        </is>
      </c>
      <c r="D5" s="7" t="inlineStr">
        <is>
          <t>Đêm dậy tiểu 3–4 lần là bị gì?</t>
        </is>
      </c>
      <c r="E5" s="7" t="inlineStr">
        <is>
          <t>Mấy anh ngoài năm mươi, đêm dậy mấy lần?</t>
        </is>
      </c>
      <c r="F5" s="7" t="inlineStr">
        <is>
          <t>Phòng ngủ đèn vàng, 2 giờ sáng</t>
        </is>
      </c>
      <c r="G5" s="26" t="n">
        <v>3</v>
      </c>
      <c r="H5" s="8">
        <f>IF($G5="","",IFERROR(INDEX(SAN_PHAM!$D$5:$D$26,MATCH($G5,SAN_PHAM!$A$5:$A$26,0)),"Sai mã SP"))</f>
        <v/>
      </c>
      <c r="I5" s="8">
        <f>IF(OR($G5="",$A5=""),"",IFERROR(INDEX(SAN_PHAM!$L$5:$L$26,MATCH($G5,SAN_PHAM!$A$5:$A$26,0))&amp;"?sub_id=ChiGiang-"&amp;SUBSTITUTE($A5,"-","")&amp;"-FBReels-SP"&amp;TEXT($G5,"00"),""))</f>
        <v/>
      </c>
      <c r="J5" s="8">
        <f>IF($G5="","",IFERROR(INDEX(SAN_PHAM!$N$5:$N$26,MATCH($G5,SAN_PHAM!$A$5:$A$26,0)),""))</f>
        <v/>
      </c>
      <c r="K5" s="7" t="inlineStr">
        <is>
          <t>Lan (ví dụ)</t>
        </is>
      </c>
      <c r="L5" s="7" t="inlineStr">
        <is>
          <t>Minh (ví dụ)</t>
        </is>
      </c>
      <c r="M5" s="26" t="inlineStr">
        <is>
          <t>Đã đăng</t>
        </is>
      </c>
      <c r="N5" s="42" t="n">
        <v>46314</v>
      </c>
      <c r="O5" s="26" t="inlineStr">
        <is>
          <t>11:30</t>
        </is>
      </c>
      <c r="P5" s="7" t="inlineStr">
        <is>
          <t>https://facebook.com/reel/… (ví dụ)</t>
        </is>
      </c>
      <c r="Q5" s="43" t="n">
        <v>12000</v>
      </c>
      <c r="R5" s="43" t="n">
        <v>60</v>
      </c>
      <c r="S5" s="43" t="n">
        <v>2</v>
      </c>
      <c r="T5" s="7" t="inlineStr">
        <is>
          <t>DÒNG VÍ DỤ – số liệu minh họa, xóa khi dùng thật</t>
        </is>
      </c>
    </row>
    <row r="6">
      <c r="A6" s="26" t="inlineStr">
        <is>
          <t>T1-002</t>
        </is>
      </c>
      <c r="B6" s="26" t="inlineStr">
        <is>
          <t>T1</t>
        </is>
      </c>
      <c r="C6" s="7" t="inlineStr">
        <is>
          <t>Review sản phẩm</t>
        </is>
      </c>
      <c r="D6" s="7" t="inlineStr">
        <is>
          <t>Review Viên Thận Botamax: lưng mỏi, tiểu đêm</t>
        </is>
      </c>
      <c r="E6" s="7" t="inlineStr">
        <is>
          <t>Anh nào đêm dậy tiểu, sáng lưng mỏi nhừ, coi hết video này</t>
        </is>
      </c>
      <c r="F6" s="7" t="inlineStr">
        <is>
          <t>Bàn trà phòng khách</t>
        </is>
      </c>
      <c r="G6" s="26" t="n">
        <v>4</v>
      </c>
      <c r="H6" s="8">
        <f>IF($G6="","",IFERROR(INDEX(SAN_PHAM!$D$5:$D$26,MATCH($G6,SAN_PHAM!$A$5:$A$26,0)),"Sai mã SP"))</f>
        <v/>
      </c>
      <c r="I6" s="8">
        <f>IF(OR($G6="",$A6=""),"",IFERROR(INDEX(SAN_PHAM!$L$5:$L$26,MATCH($G6,SAN_PHAM!$A$5:$A$26,0))&amp;"?sub_id=ChiGiang-"&amp;SUBSTITUTE($A6,"-","")&amp;"-FBReels-SP"&amp;TEXT($G6,"00"),""))</f>
        <v/>
      </c>
      <c r="J6" s="8">
        <f>IF($G6="","",IFERROR(INDEX(SAN_PHAM!$N$5:$N$26,MATCH($G6,SAN_PHAM!$A$5:$A$26,0)),""))</f>
        <v/>
      </c>
      <c r="K6" s="7" t="n"/>
      <c r="L6" s="7" t="n"/>
      <c r="M6" s="26" t="inlineStr">
        <is>
          <t>Ý tưởng</t>
        </is>
      </c>
      <c r="N6" s="42" t="n"/>
      <c r="O6" s="26" t="n"/>
      <c r="P6" s="7" t="n"/>
      <c r="Q6" s="43" t="n"/>
      <c r="R6" s="43" t="n"/>
      <c r="S6" s="43" t="n"/>
      <c r="T6" s="7" t="n"/>
    </row>
    <row r="7">
      <c r="A7" s="26" t="inlineStr">
        <is>
          <t>T1-003</t>
        </is>
      </c>
      <c r="B7" s="26" t="inlineStr">
        <is>
          <t>T1</t>
        </is>
      </c>
      <c r="C7" s="7" t="inlineStr">
        <is>
          <t>Hỏi đáp gắn SP</t>
        </is>
      </c>
      <c r="D7" s="7" t="inlineStr">
        <is>
          <t>Tiểu xong còn nhỏ giọt có sao không?</t>
        </is>
      </c>
      <c r="E7" s="7" t="inlineStr">
        <is>
          <t>Kéo khóa rồi mà vẫn còn… anh có bị vậy không?</t>
        </is>
      </c>
      <c r="F7" s="7" t="inlineStr">
        <is>
          <t>Hành lang nhà, ánh sáng sáng sớm</t>
        </is>
      </c>
      <c r="G7" s="26" t="n">
        <v>3</v>
      </c>
      <c r="H7" s="8">
        <f>IF($G7="","",IFERROR(INDEX(SAN_PHAM!$D$5:$D$26,MATCH($G7,SAN_PHAM!$A$5:$A$26,0)),"Sai mã SP"))</f>
        <v/>
      </c>
      <c r="I7" s="8">
        <f>IF(OR($G7="",$A7=""),"",IFERROR(INDEX(SAN_PHAM!$L$5:$L$26,MATCH($G7,SAN_PHAM!$A$5:$A$26,0))&amp;"?sub_id=ChiGiang-"&amp;SUBSTITUTE($A7,"-","")&amp;"-FBReels-SP"&amp;TEXT($G7,"00"),""))</f>
        <v/>
      </c>
      <c r="J7" s="8">
        <f>IF($G7="","",IFERROR(INDEX(SAN_PHAM!$N$5:$N$26,MATCH($G7,SAN_PHAM!$A$5:$A$26,0)),""))</f>
        <v/>
      </c>
      <c r="K7" s="7" t="n"/>
      <c r="L7" s="7" t="n"/>
      <c r="M7" s="26" t="inlineStr">
        <is>
          <t>Ý tưởng</t>
        </is>
      </c>
      <c r="N7" s="42" t="n"/>
      <c r="O7" s="26" t="n"/>
      <c r="P7" s="7" t="n"/>
      <c r="Q7" s="43" t="n"/>
      <c r="R7" s="43" t="n"/>
      <c r="S7" s="43" t="n"/>
      <c r="T7" s="7" t="n"/>
    </row>
    <row r="8">
      <c r="A8" s="26" t="inlineStr">
        <is>
          <t>T1-004</t>
        </is>
      </c>
      <c r="B8" s="26" t="inlineStr">
        <is>
          <t>T1</t>
        </is>
      </c>
      <c r="C8" s="7" t="inlineStr">
        <is>
          <t>Hỏi đáp gắn SP</t>
        </is>
      </c>
      <c r="D8" s="7" t="inlineStr">
        <is>
          <t>Thận yếu có phải yếu sinh lý?</t>
        </is>
      </c>
      <c r="E8" s="7" t="inlineStr">
        <is>
          <t>Ai nói thận yếu là yếu chuyện ấy? Chị nói thiệt nè</t>
        </is>
      </c>
      <c r="F8" s="7" t="inlineStr">
        <is>
          <t>Quán cà phê cóc vỉa hè</t>
        </is>
      </c>
      <c r="G8" s="26" t="n">
        <v>4</v>
      </c>
      <c r="H8" s="8">
        <f>IF($G8="","",IFERROR(INDEX(SAN_PHAM!$D$5:$D$26,MATCH($G8,SAN_PHAM!$A$5:$A$26,0)),"Sai mã SP"))</f>
        <v/>
      </c>
      <c r="I8" s="8">
        <f>IF(OR($G8="",$A8=""),"",IFERROR(INDEX(SAN_PHAM!$L$5:$L$26,MATCH($G8,SAN_PHAM!$A$5:$A$26,0))&amp;"?sub_id=ChiGiang-"&amp;SUBSTITUTE($A8,"-","")&amp;"-FBReels-SP"&amp;TEXT($G8,"00"),""))</f>
        <v/>
      </c>
      <c r="J8" s="8">
        <f>IF($G8="","",IFERROR(INDEX(SAN_PHAM!$N$5:$N$26,MATCH($G8,SAN_PHAM!$A$5:$A$26,0)),""))</f>
        <v/>
      </c>
      <c r="K8" s="7" t="n"/>
      <c r="L8" s="7" t="n"/>
      <c r="M8" s="26" t="inlineStr">
        <is>
          <t>Ý tưởng</t>
        </is>
      </c>
      <c r="N8" s="42" t="n"/>
      <c r="O8" s="26" t="n"/>
      <c r="P8" s="7" t="n"/>
      <c r="Q8" s="43" t="n"/>
      <c r="R8" s="43" t="n"/>
      <c r="S8" s="43" t="n"/>
      <c r="T8" s="7" t="n"/>
    </row>
    <row r="9">
      <c r="A9" s="26" t="inlineStr">
        <is>
          <t>T1-005</t>
        </is>
      </c>
      <c r="B9" s="26" t="inlineStr">
        <is>
          <t>T1</t>
        </is>
      </c>
      <c r="C9" s="7" t="inlineStr">
        <is>
          <t>Review sản phẩm</t>
        </is>
      </c>
      <c r="D9" s="7" t="inlineStr">
        <is>
          <t>Review sâm nhung bổ thận</t>
        </is>
      </c>
      <c r="E9" s="7" t="inlineStr">
        <is>
          <t>Sáng dậy lưng mỏi nhừ, chiều về hết hứng?</t>
        </is>
      </c>
      <c r="F9" s="7" t="inlineStr">
        <is>
          <t>Phòng khách có tủ thờ</t>
        </is>
      </c>
      <c r="G9" s="26" t="n">
        <v>2</v>
      </c>
      <c r="H9" s="8">
        <f>IF($G9="","",IFERROR(INDEX(SAN_PHAM!$D$5:$D$26,MATCH($G9,SAN_PHAM!$A$5:$A$26,0)),"Sai mã SP"))</f>
        <v/>
      </c>
      <c r="I9" s="8">
        <f>IF(OR($G9="",$A9=""),"",IFERROR(INDEX(SAN_PHAM!$L$5:$L$26,MATCH($G9,SAN_PHAM!$A$5:$A$26,0))&amp;"?sub_id=ChiGiang-"&amp;SUBSTITUTE($A9,"-","")&amp;"-FBReels-SP"&amp;TEXT($G9,"00"),""))</f>
        <v/>
      </c>
      <c r="J9" s="8">
        <f>IF($G9="","",IFERROR(INDEX(SAN_PHAM!$N$5:$N$26,MATCH($G9,SAN_PHAM!$A$5:$A$26,0)),""))</f>
        <v/>
      </c>
      <c r="K9" s="7" t="n"/>
      <c r="L9" s="7" t="n"/>
      <c r="M9" s="26" t="inlineStr">
        <is>
          <t>Ý tưởng</t>
        </is>
      </c>
      <c r="N9" s="42" t="n"/>
      <c r="O9" s="26" t="n"/>
      <c r="P9" s="7" t="n"/>
      <c r="Q9" s="43" t="n"/>
      <c r="R9" s="43" t="n"/>
      <c r="S9" s="43" t="n"/>
      <c r="T9" s="7" t="n"/>
    </row>
    <row r="10">
      <c r="A10" s="26" t="inlineStr">
        <is>
          <t>T1-006</t>
        </is>
      </c>
      <c r="B10" s="26" t="inlineStr">
        <is>
          <t>T1</t>
        </is>
      </c>
      <c r="C10" s="7" t="inlineStr">
        <is>
          <t>Hỏi đáp gắn SP</t>
        </is>
      </c>
      <c r="D10" s="7" t="inlineStr">
        <is>
          <t>Ngoài 50 ra ít, loãng là thiếu gì?</t>
        </is>
      </c>
      <c r="E10" s="7" t="inlineStr">
        <is>
          <t>Lớn tuổi ra ít là bình thường hay thiếu chất?</t>
        </is>
      </c>
      <c r="F10" s="7" t="inlineStr">
        <is>
          <t>Ban công nhiều cây</t>
        </is>
      </c>
      <c r="G10" s="26" t="n">
        <v>1</v>
      </c>
      <c r="H10" s="8">
        <f>IF($G10="","",IFERROR(INDEX(SAN_PHAM!$D$5:$D$26,MATCH($G10,SAN_PHAM!$A$5:$A$26,0)),"Sai mã SP"))</f>
        <v/>
      </c>
      <c r="I10" s="8">
        <f>IF(OR($G10="",$A10=""),"",IFERROR(INDEX(SAN_PHAM!$L$5:$L$26,MATCH($G10,SAN_PHAM!$A$5:$A$26,0))&amp;"?sub_id=ChiGiang-"&amp;SUBSTITUTE($A10,"-","")&amp;"-FBReels-SP"&amp;TEXT($G10,"00"),""))</f>
        <v/>
      </c>
      <c r="J10" s="8">
        <f>IF($G10="","",IFERROR(INDEX(SAN_PHAM!$N$5:$N$26,MATCH($G10,SAN_PHAM!$A$5:$A$26,0)),""))</f>
        <v/>
      </c>
      <c r="K10" s="7" t="n"/>
      <c r="L10" s="7" t="n"/>
      <c r="M10" s="26" t="inlineStr">
        <is>
          <t>Ý tưởng</t>
        </is>
      </c>
      <c r="N10" s="42" t="n"/>
      <c r="O10" s="26" t="n"/>
      <c r="P10" s="7" t="n"/>
      <c r="Q10" s="43" t="n"/>
      <c r="R10" s="43" t="n"/>
      <c r="S10" s="43" t="n"/>
      <c r="T10" s="7" t="n"/>
    </row>
    <row r="11">
      <c r="A11" s="26" t="inlineStr">
        <is>
          <t>T1-007</t>
        </is>
      </c>
      <c r="B11" s="26" t="inlineStr">
        <is>
          <t>T1</t>
        </is>
      </c>
      <c r="C11" s="7" t="inlineStr">
        <is>
          <t>Review sản phẩm</t>
        </is>
      </c>
      <c r="D11" s="7" t="inlineStr">
        <is>
          <t>Review Kẽm DSD: đàn ông nhậu nhiều dễ thiếu kẽm</t>
        </is>
      </c>
      <c r="E11" s="7" t="inlineStr">
        <is>
          <t>Ngoài 40 hay mệt, rụng tóc, ăn không ngon?</t>
        </is>
      </c>
      <c r="F11" s="7" t="inlineStr">
        <is>
          <t>Bàn nhậu sau bữa tiệc</t>
        </is>
      </c>
      <c r="G11" s="26" t="n">
        <v>1</v>
      </c>
      <c r="H11" s="8">
        <f>IF($G11="","",IFERROR(INDEX(SAN_PHAM!$D$5:$D$26,MATCH($G11,SAN_PHAM!$A$5:$A$26,0)),"Sai mã SP"))</f>
        <v/>
      </c>
      <c r="I11" s="8">
        <f>IF(OR($G11="",$A11=""),"",IFERROR(INDEX(SAN_PHAM!$L$5:$L$26,MATCH($G11,SAN_PHAM!$A$5:$A$26,0))&amp;"?sub_id=ChiGiang-"&amp;SUBSTITUTE($A11,"-","")&amp;"-FBReels-SP"&amp;TEXT($G11,"00"),""))</f>
        <v/>
      </c>
      <c r="J11" s="8">
        <f>IF($G11="","",IFERROR(INDEX(SAN_PHAM!$N$5:$N$26,MATCH($G11,SAN_PHAM!$A$5:$A$26,0)),""))</f>
        <v/>
      </c>
      <c r="K11" s="7" t="n"/>
      <c r="L11" s="7" t="n"/>
      <c r="M11" s="26" t="inlineStr">
        <is>
          <t>Ý tưởng</t>
        </is>
      </c>
      <c r="N11" s="42" t="n"/>
      <c r="O11" s="26" t="n"/>
      <c r="P11" s="7" t="n"/>
      <c r="Q11" s="43" t="n"/>
      <c r="R11" s="43" t="n"/>
      <c r="S11" s="43" t="n"/>
      <c r="T11" s="7" t="n"/>
    </row>
    <row r="12">
      <c r="A12" s="26" t="inlineStr">
        <is>
          <t>T1-008</t>
        </is>
      </c>
      <c r="B12" s="26" t="inlineStr">
        <is>
          <t>T1</t>
        </is>
      </c>
      <c r="C12" s="7" t="inlineStr">
        <is>
          <t>Hỏi đáp gắn SP</t>
        </is>
      </c>
      <c r="D12" s="7" t="inlineStr">
        <is>
          <t>Về hưu tự nhiên hết hứng, tại sao?</t>
        </is>
      </c>
      <c r="E12" s="7" t="inlineStr">
        <is>
          <t>Nghỉ hưu rảnh rang mà sao chuyện ấy lại nguội?</t>
        </is>
      </c>
      <c r="F12" s="7" t="inlineStr">
        <is>
          <t>Sân nhà, ghế bố</t>
        </is>
      </c>
      <c r="G12" s="26" t="n">
        <v>1</v>
      </c>
      <c r="H12" s="8">
        <f>IF($G12="","",IFERROR(INDEX(SAN_PHAM!$D$5:$D$26,MATCH($G12,SAN_PHAM!$A$5:$A$26,0)),"Sai mã SP"))</f>
        <v/>
      </c>
      <c r="I12" s="8">
        <f>IF(OR($G12="",$A12=""),"",IFERROR(INDEX(SAN_PHAM!$L$5:$L$26,MATCH($G12,SAN_PHAM!$A$5:$A$26,0))&amp;"?sub_id=ChiGiang-"&amp;SUBSTITUTE($A12,"-","")&amp;"-FBReels-SP"&amp;TEXT($G12,"00"),""))</f>
        <v/>
      </c>
      <c r="J12" s="8">
        <f>IF($G12="","",IFERROR(INDEX(SAN_PHAM!$N$5:$N$26,MATCH($G12,SAN_PHAM!$A$5:$A$26,0)),""))</f>
        <v/>
      </c>
      <c r="K12" s="7" t="n"/>
      <c r="L12" s="7" t="n"/>
      <c r="M12" s="26" t="inlineStr">
        <is>
          <t>Ý tưởng</t>
        </is>
      </c>
      <c r="N12" s="42" t="n"/>
      <c r="O12" s="26" t="n"/>
      <c r="P12" s="7" t="n"/>
      <c r="Q12" s="43" t="n"/>
      <c r="R12" s="43" t="n"/>
      <c r="S12" s="43" t="n"/>
      <c r="T12" s="7" t="n"/>
    </row>
    <row r="13">
      <c r="A13" s="26" t="inlineStr">
        <is>
          <t>T1-009</t>
        </is>
      </c>
      <c r="B13" s="26" t="inlineStr">
        <is>
          <t>T1</t>
        </is>
      </c>
      <c r="C13" s="7" t="inlineStr">
        <is>
          <t>Hỏi đáp</t>
        </is>
      </c>
      <c r="D13" s="7" t="inlineStr">
        <is>
          <t>Sáng thức dậy không còn “chào cờ” có đáng lo?</t>
        </is>
      </c>
      <c r="E13" s="7" t="inlineStr">
        <is>
          <t>Mấy anh để ý buổi sáng chưa?</t>
        </is>
      </c>
      <c r="F13" s="7" t="inlineStr">
        <is>
          <t>Phòng ngủ buổi sáng, rèm mở</t>
        </is>
      </c>
      <c r="G13" s="26" t="n"/>
      <c r="H13" s="8">
        <f>IF($G13="","",IFERROR(INDEX(SAN_PHAM!$D$5:$D$26,MATCH($G13,SAN_PHAM!$A$5:$A$26,0)),"Sai mã SP"))</f>
        <v/>
      </c>
      <c r="I13" s="8">
        <f>IF(OR($G13="",$A13=""),"",IFERROR(INDEX(SAN_PHAM!$L$5:$L$26,MATCH($G13,SAN_PHAM!$A$5:$A$26,0))&amp;"?sub_id=ChiGiang-"&amp;SUBSTITUTE($A13,"-","")&amp;"-FBReels-SP"&amp;TEXT($G13,"00"),""))</f>
        <v/>
      </c>
      <c r="J13" s="8">
        <f>IF($G13="","",IFERROR(INDEX(SAN_PHAM!$N$5:$N$26,MATCH($G13,SAN_PHAM!$A$5:$A$26,0)),""))</f>
        <v/>
      </c>
      <c r="K13" s="7" t="n"/>
      <c r="L13" s="7" t="n"/>
      <c r="M13" s="26" t="inlineStr">
        <is>
          <t>Ý tưởng</t>
        </is>
      </c>
      <c r="N13" s="42" t="n"/>
      <c r="O13" s="26" t="n"/>
      <c r="P13" s="7" t="n"/>
      <c r="Q13" s="43" t="n"/>
      <c r="R13" s="43" t="n"/>
      <c r="S13" s="43" t="n"/>
      <c r="T13" s="7" t="n"/>
    </row>
    <row r="14">
      <c r="A14" s="26" t="inlineStr">
        <is>
          <t>T1-010</t>
        </is>
      </c>
      <c r="B14" s="26" t="inlineStr">
        <is>
          <t>T1</t>
        </is>
      </c>
      <c r="C14" s="7" t="inlineStr">
        <is>
          <t>Hỏi đáp gắn SP</t>
        </is>
      </c>
      <c r="D14" s="7" t="inlineStr">
        <is>
          <t>Rượu thuốc ngâm có bổ thật không?</t>
        </is>
      </c>
      <c r="E14" s="7" t="inlineStr">
        <is>
          <t>Bình rượu ngâm trong nhà anh có gì trong đó?</t>
        </is>
      </c>
      <c r="F14" s="7" t="inlineStr">
        <is>
          <t>Góc tủ rượu</t>
        </is>
      </c>
      <c r="G14" s="26" t="n">
        <v>2</v>
      </c>
      <c r="H14" s="8">
        <f>IF($G14="","",IFERROR(INDEX(SAN_PHAM!$D$5:$D$26,MATCH($G14,SAN_PHAM!$A$5:$A$26,0)),"Sai mã SP"))</f>
        <v/>
      </c>
      <c r="I14" s="8">
        <f>IF(OR($G14="",$A14=""),"",IFERROR(INDEX(SAN_PHAM!$L$5:$L$26,MATCH($G14,SAN_PHAM!$A$5:$A$26,0))&amp;"?sub_id=ChiGiang-"&amp;SUBSTITUTE($A14,"-","")&amp;"-FBReels-SP"&amp;TEXT($G14,"00"),""))</f>
        <v/>
      </c>
      <c r="J14" s="8">
        <f>IF($G14="","",IFERROR(INDEX(SAN_PHAM!$N$5:$N$26,MATCH($G14,SAN_PHAM!$A$5:$A$26,0)),""))</f>
        <v/>
      </c>
      <c r="K14" s="7" t="n"/>
      <c r="L14" s="7" t="n"/>
      <c r="M14" s="26" t="inlineStr">
        <is>
          <t>Ý tưởng</t>
        </is>
      </c>
      <c r="N14" s="42" t="n"/>
      <c r="O14" s="26" t="n"/>
      <c r="P14" s="7" t="n"/>
      <c r="Q14" s="43" t="n"/>
      <c r="R14" s="43" t="n"/>
      <c r="S14" s="43" t="n"/>
      <c r="T14" s="7" t="n"/>
    </row>
    <row r="15">
      <c r="A15" s="26" t="inlineStr">
        <is>
          <t>T1-011</t>
        </is>
      </c>
      <c r="B15" s="26" t="inlineStr">
        <is>
          <t>T1</t>
        </is>
      </c>
      <c r="C15" s="7" t="inlineStr">
        <is>
          <t>Hỏi đáp</t>
        </is>
      </c>
      <c r="D15" s="7" t="inlineStr">
        <is>
          <t>Trứng vịt lộn, hàu có tăng bản lĩnh thật không?</t>
        </is>
      </c>
      <c r="E15" s="7" t="inlineStr">
        <is>
          <t>Ăn hột vịt lộn mỗi tối có được gì?</t>
        </is>
      </c>
      <c r="F15" s="7" t="inlineStr">
        <is>
          <t>Quán ốc vỉa hè Sài Gòn</t>
        </is>
      </c>
      <c r="G15" s="26" t="n"/>
      <c r="H15" s="8">
        <f>IF($G15="","",IFERROR(INDEX(SAN_PHAM!$D$5:$D$26,MATCH($G15,SAN_PHAM!$A$5:$A$26,0)),"Sai mã SP"))</f>
        <v/>
      </c>
      <c r="I15" s="8">
        <f>IF(OR($G15="",$A15=""),"",IFERROR(INDEX(SAN_PHAM!$L$5:$L$26,MATCH($G15,SAN_PHAM!$A$5:$A$26,0))&amp;"?sub_id=ChiGiang-"&amp;SUBSTITUTE($A15,"-","")&amp;"-FBReels-SP"&amp;TEXT($G15,"00"),""))</f>
        <v/>
      </c>
      <c r="J15" s="8">
        <f>IF($G15="","",IFERROR(INDEX(SAN_PHAM!$N$5:$N$26,MATCH($G15,SAN_PHAM!$A$5:$A$26,0)),""))</f>
        <v/>
      </c>
      <c r="K15" s="7" t="n"/>
      <c r="L15" s="7" t="n"/>
      <c r="M15" s="26" t="inlineStr">
        <is>
          <t>Ý tưởng</t>
        </is>
      </c>
      <c r="N15" s="42" t="n"/>
      <c r="O15" s="26" t="n"/>
      <c r="P15" s="7" t="n"/>
      <c r="Q15" s="43" t="n"/>
      <c r="R15" s="43" t="n"/>
      <c r="S15" s="43" t="n"/>
      <c r="T15" s="7" t="n"/>
    </row>
    <row r="16">
      <c r="A16" s="26" t="inlineStr">
        <is>
          <t>T1-012</t>
        </is>
      </c>
      <c r="B16" s="26" t="inlineStr">
        <is>
          <t>T1</t>
        </is>
      </c>
      <c r="C16" s="7" t="inlineStr">
        <is>
          <t>Hỏi đáp gắn SP</t>
        </is>
      </c>
      <c r="D16" s="7" t="inlineStr">
        <is>
          <t>19/11 Quốc tế Nam giới: 3 việc đàn ông 50 nên làm</t>
        </is>
      </c>
      <c r="E16" s="7" t="inlineStr">
        <is>
          <t>Hôm nay ngày của mấy anh, chị hỏi thiệt</t>
        </is>
      </c>
      <c r="F16" s="7" t="inlineStr">
        <is>
          <t>Phòng khách trang trí nhẹ</t>
        </is>
      </c>
      <c r="G16" s="26" t="n">
        <v>3</v>
      </c>
      <c r="H16" s="8">
        <f>IF($G16="","",IFERROR(INDEX(SAN_PHAM!$D$5:$D$26,MATCH($G16,SAN_PHAM!$A$5:$A$26,0)),"Sai mã SP"))</f>
        <v/>
      </c>
      <c r="I16" s="8">
        <f>IF(OR($G16="",$A16=""),"",IFERROR(INDEX(SAN_PHAM!$L$5:$L$26,MATCH($G16,SAN_PHAM!$A$5:$A$26,0))&amp;"?sub_id=ChiGiang-"&amp;SUBSTITUTE($A16,"-","")&amp;"-FBReels-SP"&amp;TEXT($G16,"00"),""))</f>
        <v/>
      </c>
      <c r="J16" s="8">
        <f>IF($G16="","",IFERROR(INDEX(SAN_PHAM!$N$5:$N$26,MATCH($G16,SAN_PHAM!$A$5:$A$26,0)),""))</f>
        <v/>
      </c>
      <c r="K16" s="7" t="n"/>
      <c r="L16" s="7" t="n"/>
      <c r="M16" s="26" t="inlineStr">
        <is>
          <t>Ý tưởng</t>
        </is>
      </c>
      <c r="N16" s="42" t="n"/>
      <c r="O16" s="26" t="n"/>
      <c r="P16" s="7" t="n"/>
      <c r="Q16" s="43" t="n"/>
      <c r="R16" s="43" t="n"/>
      <c r="S16" s="43" t="n"/>
      <c r="T16" s="7" t="n"/>
    </row>
    <row r="17">
      <c r="A17" s="26" t="inlineStr">
        <is>
          <t>T1-013</t>
        </is>
      </c>
      <c r="B17" s="26" t="inlineStr">
        <is>
          <t>T1</t>
        </is>
      </c>
      <c r="C17" s="7" t="inlineStr">
        <is>
          <t>Tình huống vợ chồng</t>
        </is>
      </c>
      <c r="D17" s="7" t="inlineStr">
        <is>
          <t>Vợ hỏi: sao dạo này anh dậy đêm hoài?</t>
        </is>
      </c>
      <c r="E17" s="7" t="inlineStr">
        <is>
          <t>Anh đi đâu mà đêm nào cũng dậy vậy?</t>
        </is>
      </c>
      <c r="F17" s="7" t="inlineStr">
        <is>
          <t>Phòng ngủ, vợ ngồi dậy bật đèn</t>
        </is>
      </c>
      <c r="G17" s="26" t="n">
        <v>3</v>
      </c>
      <c r="H17" s="8">
        <f>IF($G17="","",IFERROR(INDEX(SAN_PHAM!$D$5:$D$26,MATCH($G17,SAN_PHAM!$A$5:$A$26,0)),"Sai mã SP"))</f>
        <v/>
      </c>
      <c r="I17" s="8">
        <f>IF(OR($G17="",$A17=""),"",IFERROR(INDEX(SAN_PHAM!$L$5:$L$26,MATCH($G17,SAN_PHAM!$A$5:$A$26,0))&amp;"?sub_id=ChiGiang-"&amp;SUBSTITUTE($A17,"-","")&amp;"-FBReels-SP"&amp;TEXT($G17,"00"),""))</f>
        <v/>
      </c>
      <c r="J17" s="8">
        <f>IF($G17="","",IFERROR(INDEX(SAN_PHAM!$N$5:$N$26,MATCH($G17,SAN_PHAM!$A$5:$A$26,0)),""))</f>
        <v/>
      </c>
      <c r="K17" s="7" t="n"/>
      <c r="L17" s="7" t="n"/>
      <c r="M17" s="26" t="inlineStr">
        <is>
          <t>Ý tưởng</t>
        </is>
      </c>
      <c r="N17" s="42" t="n"/>
      <c r="O17" s="26" t="n"/>
      <c r="P17" s="7" t="n"/>
      <c r="Q17" s="43" t="n"/>
      <c r="R17" s="43" t="n"/>
      <c r="S17" s="43" t="n"/>
      <c r="T17" s="7" t="n"/>
    </row>
    <row r="18">
      <c r="A18" s="26" t="inlineStr">
        <is>
          <t>T1-014</t>
        </is>
      </c>
      <c r="B18" s="26" t="inlineStr">
        <is>
          <t>T1</t>
        </is>
      </c>
      <c r="C18" s="7" t="inlineStr">
        <is>
          <t>Hỏi đáp gắn SP</t>
        </is>
      </c>
      <c r="D18" s="7" t="inlineStr">
        <is>
          <t>Kẽm uống lúc nào cho đúng?</t>
        </is>
      </c>
      <c r="E18" s="7" t="inlineStr">
        <is>
          <t>Uống kẽm lúc đói là sai rồi nha</t>
        </is>
      </c>
      <c r="F18" s="7" t="inlineStr">
        <is>
          <t>Bếp buổi sáng</t>
        </is>
      </c>
      <c r="G18" s="26" t="n">
        <v>5</v>
      </c>
      <c r="H18" s="8">
        <f>IF($G18="","",IFERROR(INDEX(SAN_PHAM!$D$5:$D$26,MATCH($G18,SAN_PHAM!$A$5:$A$26,0)),"Sai mã SP"))</f>
        <v/>
      </c>
      <c r="I18" s="8">
        <f>IF(OR($G18="",$A18=""),"",IFERROR(INDEX(SAN_PHAM!$L$5:$L$26,MATCH($G18,SAN_PHAM!$A$5:$A$26,0))&amp;"?sub_id=ChiGiang-"&amp;SUBSTITUTE($A18,"-","")&amp;"-FBReels-SP"&amp;TEXT($G18,"00"),""))</f>
        <v/>
      </c>
      <c r="J18" s="8">
        <f>IF($G18="","",IFERROR(INDEX(SAN_PHAM!$N$5:$N$26,MATCH($G18,SAN_PHAM!$A$5:$A$26,0)),""))</f>
        <v/>
      </c>
      <c r="K18" s="7" t="n"/>
      <c r="L18" s="7" t="n"/>
      <c r="M18" s="26" t="inlineStr">
        <is>
          <t>Ý tưởng</t>
        </is>
      </c>
      <c r="N18" s="42" t="n"/>
      <c r="O18" s="26" t="n"/>
      <c r="P18" s="7" t="n"/>
      <c r="Q18" s="43" t="n"/>
      <c r="R18" s="43" t="n"/>
      <c r="S18" s="43" t="n"/>
      <c r="T18" s="7" t="n"/>
    </row>
    <row r="19">
      <c r="A19" s="26" t="inlineStr">
        <is>
          <t>T1-015</t>
        </is>
      </c>
      <c r="B19" s="26" t="inlineStr">
        <is>
          <t>T1</t>
        </is>
      </c>
      <c r="C19" s="7" t="inlineStr">
        <is>
          <t>Hỏi đáp</t>
        </is>
      </c>
      <c r="D19" s="7" t="inlineStr">
        <is>
          <t>Ngoài 50 bao lâu gần vợ một lần là vừa?</t>
        </is>
      </c>
      <c r="E19" s="7" t="inlineStr">
        <is>
          <t>Câu này mấy anh hỏi chị nhiều nhất</t>
        </is>
      </c>
      <c r="F19" s="7" t="inlineStr">
        <is>
          <t>Ghế đá công viên</t>
        </is>
      </c>
      <c r="G19" s="26" t="n"/>
      <c r="H19" s="8">
        <f>IF($G19="","",IFERROR(INDEX(SAN_PHAM!$D$5:$D$26,MATCH($G19,SAN_PHAM!$A$5:$A$26,0)),"Sai mã SP"))</f>
        <v/>
      </c>
      <c r="I19" s="8">
        <f>IF(OR($G19="",$A19=""),"",IFERROR(INDEX(SAN_PHAM!$L$5:$L$26,MATCH($G19,SAN_PHAM!$A$5:$A$26,0))&amp;"?sub_id=ChiGiang-"&amp;SUBSTITUTE($A19,"-","")&amp;"-FBReels-SP"&amp;TEXT($G19,"00"),""))</f>
        <v/>
      </c>
      <c r="J19" s="8">
        <f>IF($G19="","",IFERROR(INDEX(SAN_PHAM!$N$5:$N$26,MATCH($G19,SAN_PHAM!$A$5:$A$26,0)),""))</f>
        <v/>
      </c>
      <c r="K19" s="7" t="n"/>
      <c r="L19" s="7" t="n"/>
      <c r="M19" s="26" t="inlineStr">
        <is>
          <t>Ý tưởng</t>
        </is>
      </c>
      <c r="N19" s="42" t="n"/>
      <c r="O19" s="26" t="n"/>
      <c r="P19" s="7" t="n"/>
      <c r="Q19" s="43" t="n"/>
      <c r="R19" s="43" t="n"/>
      <c r="S19" s="43" t="n"/>
      <c r="T19" s="7" t="n"/>
    </row>
    <row r="20">
      <c r="A20" s="26" t="inlineStr">
        <is>
          <t>T2-001</t>
        </is>
      </c>
      <c r="B20" s="26" t="inlineStr">
        <is>
          <t>T2</t>
        </is>
      </c>
      <c r="C20" s="7" t="inlineStr">
        <is>
          <t>Hỏi đáp gắn SP</t>
        </is>
      </c>
      <c r="D20" s="7" t="inlineStr">
        <is>
          <t>Vợ mãn kinh né chồng, đừng vội nghĩ hết thương</t>
        </is>
      </c>
      <c r="E20" s="7" t="inlineStr">
        <is>
          <t>Vợ né anh có phải vì hết thương?</t>
        </is>
      </c>
      <c r="F20" s="7" t="inlineStr">
        <is>
          <t>Phòng khách buổi tối</t>
        </is>
      </c>
      <c r="G20" s="26" t="n">
        <v>23</v>
      </c>
      <c r="H20" s="8">
        <f>IF($G20="","",IFERROR(INDEX(SAN_PHAM!$D$5:$D$26,MATCH($G20,SAN_PHAM!$A$5:$A$26,0)),"Sai mã SP"))</f>
        <v/>
      </c>
      <c r="I20" s="8">
        <f>IF(OR($G20="",$A20=""),"",IFERROR(INDEX(SAN_PHAM!$L$5:$L$26,MATCH($G20,SAN_PHAM!$A$5:$A$26,0))&amp;"?sub_id=ChiGiang-"&amp;SUBSTITUTE($A20,"-","")&amp;"-FBReels-SP"&amp;TEXT($G20,"00"),""))</f>
        <v/>
      </c>
      <c r="J20" s="8">
        <f>IF($G20="","",IFERROR(INDEX(SAN_PHAM!$N$5:$N$26,MATCH($G20,SAN_PHAM!$A$5:$A$26,0)),""))</f>
        <v/>
      </c>
      <c r="K20" s="7" t="n"/>
      <c r="L20" s="7" t="n"/>
      <c r="M20" s="26" t="inlineStr">
        <is>
          <t>Ý tưởng</t>
        </is>
      </c>
      <c r="N20" s="42" t="n"/>
      <c r="O20" s="26" t="n"/>
      <c r="P20" s="7" t="n"/>
      <c r="Q20" s="43" t="n"/>
      <c r="R20" s="43" t="n"/>
      <c r="S20" s="43" t="n"/>
      <c r="T20" s="7" t="n"/>
    </row>
    <row r="21">
      <c r="A21" s="26" t="inlineStr">
        <is>
          <t>T2-002</t>
        </is>
      </c>
      <c r="B21" s="26" t="inlineStr">
        <is>
          <t>T2</t>
        </is>
      </c>
      <c r="C21" s="7" t="inlineStr">
        <is>
          <t>Hỏi đáp</t>
        </is>
      </c>
      <c r="D21" s="7" t="inlineStr">
        <is>
          <t>Vợ khô có phải hết thương?</t>
        </is>
      </c>
      <c r="E21" s="7" t="inlineStr">
        <is>
          <t>Câu này nhiều anh hiểu sai lắm</t>
        </is>
      </c>
      <c r="F21" s="7" t="inlineStr">
        <is>
          <t>Phòng ngủ đèn ngủ</t>
        </is>
      </c>
      <c r="G21" s="26" t="n"/>
      <c r="H21" s="8">
        <f>IF($G21="","",IFERROR(INDEX(SAN_PHAM!$D$5:$D$26,MATCH($G21,SAN_PHAM!$A$5:$A$26,0)),"Sai mã SP"))</f>
        <v/>
      </c>
      <c r="I21" s="8">
        <f>IF(OR($G21="",$A21=""),"",IFERROR(INDEX(SAN_PHAM!$L$5:$L$26,MATCH($G21,SAN_PHAM!$A$5:$A$26,0))&amp;"?sub_id=ChiGiang-"&amp;SUBSTITUTE($A21,"-","")&amp;"-FBReels-SP"&amp;TEXT($G21,"00"),""))</f>
        <v/>
      </c>
      <c r="J21" s="8">
        <f>IF($G21="","",IFERROR(INDEX(SAN_PHAM!$N$5:$N$26,MATCH($G21,SAN_PHAM!$A$5:$A$26,0)),""))</f>
        <v/>
      </c>
      <c r="K21" s="7" t="n"/>
      <c r="L21" s="7" t="n"/>
      <c r="M21" s="26" t="inlineStr">
        <is>
          <t>Ý tưởng</t>
        </is>
      </c>
      <c r="N21" s="42" t="n"/>
      <c r="O21" s="26" t="n"/>
      <c r="P21" s="7" t="n"/>
      <c r="Q21" s="43" t="n"/>
      <c r="R21" s="43" t="n"/>
      <c r="S21" s="43" t="n"/>
      <c r="T21" s="7" t="n"/>
    </row>
    <row r="22">
      <c r="A22" s="26" t="inlineStr">
        <is>
          <t>T2-003</t>
        </is>
      </c>
      <c r="B22" s="26" t="inlineStr">
        <is>
          <t>T2</t>
        </is>
      </c>
      <c r="C22" s="7" t="inlineStr">
        <is>
          <t>Tình huống vợ chồng</t>
        </is>
      </c>
      <c r="D22" s="7" t="inlineStr">
        <is>
          <t>20/10 tặng vợ tuổi 50 cái gì cho vợ vui?</t>
        </is>
      </c>
      <c r="E22" s="7" t="inlineStr">
        <is>
          <t>Hai mươi tháng mười rồi, anh mua gì cho vợ chưa?</t>
        </is>
      </c>
      <c r="F22" s="7" t="inlineStr">
        <is>
          <t>Chợ hoa, cầm bó hoa</t>
        </is>
      </c>
      <c r="G22" s="26" t="n">
        <v>23</v>
      </c>
      <c r="H22" s="8">
        <f>IF($G22="","",IFERROR(INDEX(SAN_PHAM!$D$5:$D$26,MATCH($G22,SAN_PHAM!$A$5:$A$26,0)),"Sai mã SP"))</f>
        <v/>
      </c>
      <c r="I22" s="8">
        <f>IF(OR($G22="",$A22=""),"",IFERROR(INDEX(SAN_PHAM!$L$5:$L$26,MATCH($G22,SAN_PHAM!$A$5:$A$26,0))&amp;"?sub_id=ChiGiang-"&amp;SUBSTITUTE($A22,"-","")&amp;"-FBReels-SP"&amp;TEXT($G22,"00"),""))</f>
        <v/>
      </c>
      <c r="J22" s="8">
        <f>IF($G22="","",IFERROR(INDEX(SAN_PHAM!$N$5:$N$26,MATCH($G22,SAN_PHAM!$A$5:$A$26,0)),""))</f>
        <v/>
      </c>
      <c r="K22" s="7" t="n"/>
      <c r="L22" s="7" t="n"/>
      <c r="M22" s="26" t="inlineStr">
        <is>
          <t>Ý tưởng</t>
        </is>
      </c>
      <c r="N22" s="42" t="n"/>
      <c r="O22" s="26" t="n"/>
      <c r="P22" s="7" t="n"/>
      <c r="Q22" s="43" t="n"/>
      <c r="R22" s="43" t="n"/>
      <c r="S22" s="43" t="n"/>
      <c r="T22" s="7" t="n"/>
    </row>
    <row r="23">
      <c r="A23" s="26" t="inlineStr">
        <is>
          <t>T2-004</t>
        </is>
      </c>
      <c r="B23" s="26" t="inlineStr">
        <is>
          <t>T2</t>
        </is>
      </c>
      <c r="C23" s="7" t="inlineStr">
        <is>
          <t>Hỏi đáp</t>
        </is>
      </c>
      <c r="D23" s="7" t="inlineStr">
        <is>
          <t>Vợ nói “em mệt” là thật hay giả?</t>
        </is>
      </c>
      <c r="E23" s="7" t="inlineStr">
        <is>
          <t>Vợ nói em mệt, anh hiểu sao?</t>
        </is>
      </c>
      <c r="F23" s="7" t="inlineStr">
        <is>
          <t>Bếp tối, vợ rửa chén</t>
        </is>
      </c>
      <c r="G23" s="26" t="n"/>
      <c r="H23" s="8">
        <f>IF($G23="","",IFERROR(INDEX(SAN_PHAM!$D$5:$D$26,MATCH($G23,SAN_PHAM!$A$5:$A$26,0)),"Sai mã SP"))</f>
        <v/>
      </c>
      <c r="I23" s="8">
        <f>IF(OR($G23="",$A23=""),"",IFERROR(INDEX(SAN_PHAM!$L$5:$L$26,MATCH($G23,SAN_PHAM!$A$5:$A$26,0))&amp;"?sub_id=ChiGiang-"&amp;SUBSTITUTE($A23,"-","")&amp;"-FBReels-SP"&amp;TEXT($G23,"00"),""))</f>
        <v/>
      </c>
      <c r="J23" s="8">
        <f>IF($G23="","",IFERROR(INDEX(SAN_PHAM!$N$5:$N$26,MATCH($G23,SAN_PHAM!$A$5:$A$26,0)),""))</f>
        <v/>
      </c>
      <c r="K23" s="7" t="n"/>
      <c r="L23" s="7" t="n"/>
      <c r="M23" s="26" t="inlineStr">
        <is>
          <t>Ý tưởng</t>
        </is>
      </c>
      <c r="N23" s="42" t="n"/>
      <c r="O23" s="26" t="n"/>
      <c r="P23" s="7" t="n"/>
      <c r="Q23" s="43" t="n"/>
      <c r="R23" s="43" t="n"/>
      <c r="S23" s="43" t="n"/>
      <c r="T23" s="7" t="n"/>
    </row>
    <row r="24">
      <c r="A24" s="26" t="inlineStr">
        <is>
          <t>T2-005</t>
        </is>
      </c>
      <c r="B24" s="26" t="inlineStr">
        <is>
          <t>T2</t>
        </is>
      </c>
      <c r="C24" s="7" t="inlineStr">
        <is>
          <t>Hỏi đáp gắn SP</t>
        </is>
      </c>
      <c r="D24" s="7" t="inlineStr">
        <is>
          <t>Vợ chồng lớn tuổi có cần dùng bao?</t>
        </is>
      </c>
      <c r="E24" s="7" t="inlineStr">
        <is>
          <t>Vợ mãn kinh rồi thì khỏi cần, đúng không?</t>
        </is>
      </c>
      <c r="F24" s="7" t="inlineStr">
        <is>
          <t>Phòng khách</t>
        </is>
      </c>
      <c r="G24" s="26" t="n">
        <v>8</v>
      </c>
      <c r="H24" s="8">
        <f>IF($G24="","",IFERROR(INDEX(SAN_PHAM!$D$5:$D$26,MATCH($G24,SAN_PHAM!$A$5:$A$26,0)),"Sai mã SP"))</f>
        <v/>
      </c>
      <c r="I24" s="8">
        <f>IF(OR($G24="",$A24=""),"",IFERROR(INDEX(SAN_PHAM!$L$5:$L$26,MATCH($G24,SAN_PHAM!$A$5:$A$26,0))&amp;"?sub_id=ChiGiang-"&amp;SUBSTITUTE($A24,"-","")&amp;"-FBReels-SP"&amp;TEXT($G24,"00"),""))</f>
        <v/>
      </c>
      <c r="J24" s="8">
        <f>IF($G24="","",IFERROR(INDEX(SAN_PHAM!$N$5:$N$26,MATCH($G24,SAN_PHAM!$A$5:$A$26,0)),""))</f>
        <v/>
      </c>
      <c r="K24" s="7" t="n"/>
      <c r="L24" s="7" t="n"/>
      <c r="M24" s="26" t="inlineStr">
        <is>
          <t>Ý tưởng</t>
        </is>
      </c>
      <c r="N24" s="42" t="n"/>
      <c r="O24" s="26" t="n"/>
      <c r="P24" s="7" t="n"/>
      <c r="Q24" s="43" t="n"/>
      <c r="R24" s="43" t="n"/>
      <c r="S24" s="43" t="n"/>
      <c r="T24" s="7" t="n"/>
    </row>
    <row r="25">
      <c r="A25" s="26" t="inlineStr">
        <is>
          <t>T2-006</t>
        </is>
      </c>
      <c r="B25" s="26" t="inlineStr">
        <is>
          <t>T2</t>
        </is>
      </c>
      <c r="C25" s="7" t="inlineStr">
        <is>
          <t>Hỏi đáp</t>
        </is>
      </c>
      <c r="D25" s="7" t="inlineStr">
        <is>
          <t>Bao lâu không gần nhau là báo động?</t>
        </is>
      </c>
      <c r="E25" s="7" t="inlineStr">
        <is>
          <t>Một tháng, ba tháng hay một năm?</t>
        </is>
      </c>
      <c r="F25" s="7" t="inlineStr">
        <is>
          <t>Quán cà phê sân vườn</t>
        </is>
      </c>
      <c r="G25" s="26" t="n"/>
      <c r="H25" s="8">
        <f>IF($G25="","",IFERROR(INDEX(SAN_PHAM!$D$5:$D$26,MATCH($G25,SAN_PHAM!$A$5:$A$26,0)),"Sai mã SP"))</f>
        <v/>
      </c>
      <c r="I25" s="8">
        <f>IF(OR($G25="",$A25=""),"",IFERROR(INDEX(SAN_PHAM!$L$5:$L$26,MATCH($G25,SAN_PHAM!$A$5:$A$26,0))&amp;"?sub_id=ChiGiang-"&amp;SUBSTITUTE($A25,"-","")&amp;"-FBReels-SP"&amp;TEXT($G25,"00"),""))</f>
        <v/>
      </c>
      <c r="J25" s="8">
        <f>IF($G25="","",IFERROR(INDEX(SAN_PHAM!$N$5:$N$26,MATCH($G25,SAN_PHAM!$A$5:$A$26,0)),""))</f>
        <v/>
      </c>
      <c r="K25" s="7" t="n"/>
      <c r="L25" s="7" t="n"/>
      <c r="M25" s="26" t="inlineStr">
        <is>
          <t>Ý tưởng</t>
        </is>
      </c>
      <c r="N25" s="42" t="n"/>
      <c r="O25" s="26" t="n"/>
      <c r="P25" s="7" t="n"/>
      <c r="Q25" s="43" t="n"/>
      <c r="R25" s="43" t="n"/>
      <c r="S25" s="43" t="n"/>
      <c r="T25" s="7" t="n"/>
    </row>
    <row r="26">
      <c r="A26" s="26" t="inlineStr">
        <is>
          <t>T2-007</t>
        </is>
      </c>
      <c r="B26" s="26" t="inlineStr">
        <is>
          <t>T2</t>
        </is>
      </c>
      <c r="C26" s="7" t="inlineStr">
        <is>
          <t>Hỏi đáp gắn SP</t>
        </is>
      </c>
      <c r="D26" s="7" t="inlineStr">
        <is>
          <t>Vệ sinh trước khi gần vợ – điều vợ ngại nói</t>
        </is>
      </c>
      <c r="E26" s="7" t="inlineStr">
        <is>
          <t>Có một chuyện vợ anh không dám nói</t>
        </is>
      </c>
      <c r="F26" s="7" t="inlineStr">
        <is>
          <t>Phòng tắm sạch sẽ, khăn treo</t>
        </is>
      </c>
      <c r="G26" s="26" t="n">
        <v>6</v>
      </c>
      <c r="H26" s="8">
        <f>IF($G26="","",IFERROR(INDEX(SAN_PHAM!$D$5:$D$26,MATCH($G26,SAN_PHAM!$A$5:$A$26,0)),"Sai mã SP"))</f>
        <v/>
      </c>
      <c r="I26" s="8">
        <f>IF(OR($G26="",$A26=""),"",IFERROR(INDEX(SAN_PHAM!$L$5:$L$26,MATCH($G26,SAN_PHAM!$A$5:$A$26,0))&amp;"?sub_id=ChiGiang-"&amp;SUBSTITUTE($A26,"-","")&amp;"-FBReels-SP"&amp;TEXT($G26,"00"),""))</f>
        <v/>
      </c>
      <c r="J26" s="8">
        <f>IF($G26="","",IFERROR(INDEX(SAN_PHAM!$N$5:$N$26,MATCH($G26,SAN_PHAM!$A$5:$A$26,0)),""))</f>
        <v/>
      </c>
      <c r="K26" s="7" t="n"/>
      <c r="L26" s="7" t="n"/>
      <c r="M26" s="26" t="inlineStr">
        <is>
          <t>Ý tưởng</t>
        </is>
      </c>
      <c r="N26" s="42" t="n"/>
      <c r="O26" s="26" t="n"/>
      <c r="P26" s="7" t="n"/>
      <c r="Q26" s="43" t="n"/>
      <c r="R26" s="43" t="n"/>
      <c r="S26" s="43" t="n"/>
      <c r="T26" s="7" t="n"/>
    </row>
    <row r="27">
      <c r="A27" s="26" t="inlineStr">
        <is>
          <t>T2-008</t>
        </is>
      </c>
      <c r="B27" s="26" t="inlineStr">
        <is>
          <t>T2</t>
        </is>
      </c>
      <c r="C27" s="7" t="inlineStr">
        <is>
          <t>Tình huống vợ chồng</t>
        </is>
      </c>
      <c r="D27" s="7" t="inlineStr">
        <is>
          <t>Chồng massage cho vợ, vợ cảm động</t>
        </is>
      </c>
      <c r="E27" s="7" t="inlineStr">
        <is>
          <t>Ba chục năm mới thấy ổng làm vậy</t>
        </is>
      </c>
      <c r="F27" s="7" t="inlineStr">
        <is>
          <t>Phòng khách, sofa</t>
        </is>
      </c>
      <c r="G27" s="26" t="n">
        <v>21</v>
      </c>
      <c r="H27" s="8">
        <f>IF($G27="","",IFERROR(INDEX(SAN_PHAM!$D$5:$D$26,MATCH($G27,SAN_PHAM!$A$5:$A$26,0)),"Sai mã SP"))</f>
        <v/>
      </c>
      <c r="I27" s="8">
        <f>IF(OR($G27="",$A27=""),"",IFERROR(INDEX(SAN_PHAM!$L$5:$L$26,MATCH($G27,SAN_PHAM!$A$5:$A$26,0))&amp;"?sub_id=ChiGiang-"&amp;SUBSTITUTE($A27,"-","")&amp;"-FBReels-SP"&amp;TEXT($G27,"00"),""))</f>
        <v/>
      </c>
      <c r="J27" s="8">
        <f>IF($G27="","",IFERROR(INDEX(SAN_PHAM!$N$5:$N$26,MATCH($G27,SAN_PHAM!$A$5:$A$26,0)),""))</f>
        <v/>
      </c>
      <c r="K27" s="7" t="n"/>
      <c r="L27" s="7" t="n"/>
      <c r="M27" s="26" t="inlineStr">
        <is>
          <t>Ý tưởng</t>
        </is>
      </c>
      <c r="N27" s="42" t="n"/>
      <c r="O27" s="26" t="n"/>
      <c r="P27" s="7" t="n"/>
      <c r="Q27" s="43" t="n"/>
      <c r="R27" s="43" t="n"/>
      <c r="S27" s="43" t="n"/>
      <c r="T27" s="7" t="n"/>
    </row>
    <row r="28">
      <c r="A28" s="26" t="inlineStr">
        <is>
          <t>T2-009</t>
        </is>
      </c>
      <c r="B28" s="26" t="inlineStr">
        <is>
          <t>T2</t>
        </is>
      </c>
      <c r="C28" s="7" t="inlineStr">
        <is>
          <t>Hỏi đáp</t>
        </is>
      </c>
      <c r="D28" s="7" t="inlineStr">
        <is>
          <t>Vì sao vợ đòi tắt đèn?</t>
        </is>
      </c>
      <c r="E28" s="7" t="inlineStr">
        <is>
          <t>Vợ đòi tắt đèn là vì ngại hay vì giận?</t>
        </is>
      </c>
      <c r="F28" s="7" t="inlineStr">
        <is>
          <t>Phòng ngủ</t>
        </is>
      </c>
      <c r="G28" s="26" t="n"/>
      <c r="H28" s="8">
        <f>IF($G28="","",IFERROR(INDEX(SAN_PHAM!$D$5:$D$26,MATCH($G28,SAN_PHAM!$A$5:$A$26,0)),"Sai mã SP"))</f>
        <v/>
      </c>
      <c r="I28" s="8">
        <f>IF(OR($G28="",$A28=""),"",IFERROR(INDEX(SAN_PHAM!$L$5:$L$26,MATCH($G28,SAN_PHAM!$A$5:$A$26,0))&amp;"?sub_id=ChiGiang-"&amp;SUBSTITUTE($A28,"-","")&amp;"-FBReels-SP"&amp;TEXT($G28,"00"),""))</f>
        <v/>
      </c>
      <c r="J28" s="8">
        <f>IF($G28="","",IFERROR(INDEX(SAN_PHAM!$N$5:$N$26,MATCH($G28,SAN_PHAM!$A$5:$A$26,0)),""))</f>
        <v/>
      </c>
      <c r="K28" s="7" t="n"/>
      <c r="L28" s="7" t="n"/>
      <c r="M28" s="26" t="inlineStr">
        <is>
          <t>Ý tưởng</t>
        </is>
      </c>
      <c r="N28" s="42" t="n"/>
      <c r="O28" s="26" t="n"/>
      <c r="P28" s="7" t="n"/>
      <c r="Q28" s="43" t="n"/>
      <c r="R28" s="43" t="n"/>
      <c r="S28" s="43" t="n"/>
      <c r="T28" s="7" t="n"/>
    </row>
    <row r="29">
      <c r="A29" s="26" t="inlineStr">
        <is>
          <t>T2-010</t>
        </is>
      </c>
      <c r="B29" s="26" t="inlineStr">
        <is>
          <t>T2</t>
        </is>
      </c>
      <c r="C29" s="7" t="inlineStr">
        <is>
          <t>Hỏi đáp</t>
        </is>
      </c>
      <c r="D29" s="7" t="inlineStr">
        <is>
          <t>Vợ thích được khen điều gì nhất?</t>
        </is>
      </c>
      <c r="E29" s="7" t="inlineStr">
        <is>
          <t>Khen vợ đẹp là chưa đủ đâu mấy anh</t>
        </is>
      </c>
      <c r="F29" s="7" t="inlineStr">
        <is>
          <t>Bữa cơm gia đình</t>
        </is>
      </c>
      <c r="G29" s="26" t="n"/>
      <c r="H29" s="8">
        <f>IF($G29="","",IFERROR(INDEX(SAN_PHAM!$D$5:$D$26,MATCH($G29,SAN_PHAM!$A$5:$A$26,0)),"Sai mã SP"))</f>
        <v/>
      </c>
      <c r="I29" s="8">
        <f>IF(OR($G29="",$A29=""),"",IFERROR(INDEX(SAN_PHAM!$L$5:$L$26,MATCH($G29,SAN_PHAM!$A$5:$A$26,0))&amp;"?sub_id=ChiGiang-"&amp;SUBSTITUTE($A29,"-","")&amp;"-FBReels-SP"&amp;TEXT($G29,"00"),""))</f>
        <v/>
      </c>
      <c r="J29" s="8">
        <f>IF($G29="","",IFERROR(INDEX(SAN_PHAM!$N$5:$N$26,MATCH($G29,SAN_PHAM!$A$5:$A$26,0)),""))</f>
        <v/>
      </c>
      <c r="K29" s="7" t="n"/>
      <c r="L29" s="7" t="n"/>
      <c r="M29" s="26" t="inlineStr">
        <is>
          <t>Ý tưởng</t>
        </is>
      </c>
      <c r="N29" s="42" t="n"/>
      <c r="O29" s="26" t="n"/>
      <c r="P29" s="7" t="n"/>
      <c r="Q29" s="43" t="n"/>
      <c r="R29" s="43" t="n"/>
      <c r="S29" s="43" t="n"/>
      <c r="T29" s="7" t="n"/>
    </row>
    <row r="30">
      <c r="A30" s="26" t="inlineStr">
        <is>
          <t>T3-001</t>
        </is>
      </c>
      <c r="B30" s="26" t="inlineStr">
        <is>
          <t>T3</t>
        </is>
      </c>
      <c r="C30" s="7" t="inlineStr">
        <is>
          <t>Hỏi đáp gắn SP</t>
        </is>
      </c>
      <c r="D30" s="7" t="inlineStr">
        <is>
          <t>Uống thuốc huyết áp có làm yếu chuyện ấy?</t>
        </is>
      </c>
      <c r="E30" s="7" t="inlineStr">
        <is>
          <t>Uống thuốc huyết áp xong anh thấy khác không?</t>
        </is>
      </c>
      <c r="F30" s="7" t="inlineStr">
        <is>
          <t>Bàn làm việc có hộp thuốc</t>
        </is>
      </c>
      <c r="G30" s="26" t="n">
        <v>11</v>
      </c>
      <c r="H30" s="8">
        <f>IF($G30="","",IFERROR(INDEX(SAN_PHAM!$D$5:$D$26,MATCH($G30,SAN_PHAM!$A$5:$A$26,0)),"Sai mã SP"))</f>
        <v/>
      </c>
      <c r="I30" s="8">
        <f>IF(OR($G30="",$A30=""),"",IFERROR(INDEX(SAN_PHAM!$L$5:$L$26,MATCH($G30,SAN_PHAM!$A$5:$A$26,0))&amp;"?sub_id=ChiGiang-"&amp;SUBSTITUTE($A30,"-","")&amp;"-FBReels-SP"&amp;TEXT($G30,"00"),""))</f>
        <v/>
      </c>
      <c r="J30" s="8">
        <f>IF($G30="","",IFERROR(INDEX(SAN_PHAM!$N$5:$N$26,MATCH($G30,SAN_PHAM!$A$5:$A$26,0)),""))</f>
        <v/>
      </c>
      <c r="K30" s="7" t="n"/>
      <c r="L30" s="7" t="n"/>
      <c r="M30" s="26" t="inlineStr">
        <is>
          <t>Ý tưởng</t>
        </is>
      </c>
      <c r="N30" s="42" t="n"/>
      <c r="O30" s="26" t="n"/>
      <c r="P30" s="7" t="n"/>
      <c r="Q30" s="43" t="n"/>
      <c r="R30" s="43" t="n"/>
      <c r="S30" s="43" t="n"/>
      <c r="T30" s="7" t="n"/>
    </row>
    <row r="31">
      <c r="A31" s="26" t="inlineStr">
        <is>
          <t>T3-002</t>
        </is>
      </c>
      <c r="B31" s="26" t="inlineStr">
        <is>
          <t>T3</t>
        </is>
      </c>
      <c r="C31" s="7" t="inlineStr">
        <is>
          <t>Review sản phẩm</t>
        </is>
      </c>
      <c r="D31" s="7" t="inlineStr">
        <is>
          <t>Review máy đo huyết áp Omron: tự đo ở nhà</t>
        </is>
      </c>
      <c r="E31" s="7" t="inlineStr">
        <is>
          <t>Đo huyết áp ở nhà mà số nhảy lung tung?</t>
        </is>
      </c>
      <c r="F31" s="7" t="inlineStr">
        <is>
          <t>Phòng khách nhà ba mẹ</t>
        </is>
      </c>
      <c r="G31" s="26" t="n">
        <v>11</v>
      </c>
      <c r="H31" s="8">
        <f>IF($G31="","",IFERROR(INDEX(SAN_PHAM!$D$5:$D$26,MATCH($G31,SAN_PHAM!$A$5:$A$26,0)),"Sai mã SP"))</f>
        <v/>
      </c>
      <c r="I31" s="8">
        <f>IF(OR($G31="",$A31=""),"",IFERROR(INDEX(SAN_PHAM!$L$5:$L$26,MATCH($G31,SAN_PHAM!$A$5:$A$26,0))&amp;"?sub_id=ChiGiang-"&amp;SUBSTITUTE($A31,"-","")&amp;"-FBReels-SP"&amp;TEXT($G31,"00"),""))</f>
        <v/>
      </c>
      <c r="J31" s="8">
        <f>IF($G31="","",IFERROR(INDEX(SAN_PHAM!$N$5:$N$26,MATCH($G31,SAN_PHAM!$A$5:$A$26,0)),""))</f>
        <v/>
      </c>
      <c r="K31" s="7" t="n"/>
      <c r="L31" s="7" t="n"/>
      <c r="M31" s="26" t="inlineStr">
        <is>
          <t>Ý tưởng</t>
        </is>
      </c>
      <c r="N31" s="42" t="n"/>
      <c r="O31" s="26" t="n"/>
      <c r="P31" s="7" t="n"/>
      <c r="Q31" s="43" t="n"/>
      <c r="R31" s="43" t="n"/>
      <c r="S31" s="43" t="n"/>
      <c r="T31" s="7" t="n"/>
    </row>
    <row r="32">
      <c r="A32" s="26" t="inlineStr">
        <is>
          <t>T3-003</t>
        </is>
      </c>
      <c r="B32" s="26" t="inlineStr">
        <is>
          <t>T3</t>
        </is>
      </c>
      <c r="C32" s="7" t="inlineStr">
        <is>
          <t>Hỏi đáp gắn SP</t>
        </is>
      </c>
      <c r="D32" s="7" t="inlineStr">
        <is>
          <t>Tiểu đường và chuyện ấy</t>
        </is>
      </c>
      <c r="E32" s="7" t="inlineStr">
        <is>
          <t>Đường huyết cao thì chuyện ấy ra sao?</t>
        </is>
      </c>
      <c r="F32" s="7" t="inlineStr">
        <is>
          <t>Bếp, bữa sáng</t>
        </is>
      </c>
      <c r="G32" s="26" t="n">
        <v>13</v>
      </c>
      <c r="H32" s="8">
        <f>IF($G32="","",IFERROR(INDEX(SAN_PHAM!$D$5:$D$26,MATCH($G32,SAN_PHAM!$A$5:$A$26,0)),"Sai mã SP"))</f>
        <v/>
      </c>
      <c r="I32" s="8">
        <f>IF(OR($G32="",$A32=""),"",IFERROR(INDEX(SAN_PHAM!$L$5:$L$26,MATCH($G32,SAN_PHAM!$A$5:$A$26,0))&amp;"?sub_id=ChiGiang-"&amp;SUBSTITUTE($A32,"-","")&amp;"-FBReels-SP"&amp;TEXT($G32,"00"),""))</f>
        <v/>
      </c>
      <c r="J32" s="8">
        <f>IF($G32="","",IFERROR(INDEX(SAN_PHAM!$N$5:$N$26,MATCH($G32,SAN_PHAM!$A$5:$A$26,0)),""))</f>
        <v/>
      </c>
      <c r="K32" s="7" t="n"/>
      <c r="L32" s="7" t="n"/>
      <c r="M32" s="26" t="inlineStr">
        <is>
          <t>Ý tưởng</t>
        </is>
      </c>
      <c r="N32" s="42" t="n"/>
      <c r="O32" s="26" t="n"/>
      <c r="P32" s="7" t="n"/>
      <c r="Q32" s="43" t="n"/>
      <c r="R32" s="43" t="n"/>
      <c r="S32" s="43" t="n"/>
      <c r="T32" s="7" t="n"/>
    </row>
    <row r="33">
      <c r="A33" s="26" t="inlineStr">
        <is>
          <t>T3-004</t>
        </is>
      </c>
      <c r="B33" s="26" t="inlineStr">
        <is>
          <t>T3</t>
        </is>
      </c>
      <c r="C33" s="7" t="inlineStr">
        <is>
          <t>Hỏi đáp gắn SP</t>
        </is>
      </c>
      <c r="D33" s="7" t="inlineStr">
        <is>
          <t>Đau lưng thoát vị có nên gần vợ?</t>
        </is>
      </c>
      <c r="E33" s="7" t="inlineStr">
        <is>
          <t>Lưng đau mà vợ rủ, làm sao đây?</t>
        </is>
      </c>
      <c r="F33" s="7" t="inlineStr">
        <is>
          <t>Phòng ngủ, gối tựa lưng</t>
        </is>
      </c>
      <c r="G33" s="26" t="n">
        <v>19</v>
      </c>
      <c r="H33" s="8">
        <f>IF($G33="","",IFERROR(INDEX(SAN_PHAM!$D$5:$D$26,MATCH($G33,SAN_PHAM!$A$5:$A$26,0)),"Sai mã SP"))</f>
        <v/>
      </c>
      <c r="I33" s="8">
        <f>IF(OR($G33="",$A33=""),"",IFERROR(INDEX(SAN_PHAM!$L$5:$L$26,MATCH($G33,SAN_PHAM!$A$5:$A$26,0))&amp;"?sub_id=ChiGiang-"&amp;SUBSTITUTE($A33,"-","")&amp;"-FBReels-SP"&amp;TEXT($G33,"00"),""))</f>
        <v/>
      </c>
      <c r="J33" s="8">
        <f>IF($G33="","",IFERROR(INDEX(SAN_PHAM!$N$5:$N$26,MATCH($G33,SAN_PHAM!$A$5:$A$26,0)),""))</f>
        <v/>
      </c>
      <c r="K33" s="7" t="n"/>
      <c r="L33" s="7" t="n"/>
      <c r="M33" s="26" t="inlineStr">
        <is>
          <t>Ý tưởng</t>
        </is>
      </c>
      <c r="N33" s="42" t="n"/>
      <c r="O33" s="26" t="n"/>
      <c r="P33" s="7" t="n"/>
      <c r="Q33" s="43" t="n"/>
      <c r="R33" s="43" t="n"/>
      <c r="S33" s="43" t="n"/>
      <c r="T33" s="7" t="n"/>
    </row>
    <row r="34">
      <c r="A34" s="26" t="inlineStr">
        <is>
          <t>T3-005</t>
        </is>
      </c>
      <c r="B34" s="26" t="inlineStr">
        <is>
          <t>T3</t>
        </is>
      </c>
      <c r="C34" s="7" t="inlineStr">
        <is>
          <t>Review sản phẩm</t>
        </is>
      </c>
      <c r="D34" s="7" t="inlineStr">
        <is>
          <t>Review đai lưng tự nóng Kazumi: đau lưng mùa lạnh</t>
        </is>
      </c>
      <c r="E34" s="7" t="inlineStr">
        <is>
          <t>Trời trở lạnh, lưng nhức hả mấy anh?</t>
        </is>
      </c>
      <c r="F34" s="7" t="inlineStr">
        <is>
          <t>Ghế bố ngoài hiên</t>
        </is>
      </c>
      <c r="G34" s="26" t="n">
        <v>19</v>
      </c>
      <c r="H34" s="8">
        <f>IF($G34="","",IFERROR(INDEX(SAN_PHAM!$D$5:$D$26,MATCH($G34,SAN_PHAM!$A$5:$A$26,0)),"Sai mã SP"))</f>
        <v/>
      </c>
      <c r="I34" s="8">
        <f>IF(OR($G34="",$A34=""),"",IFERROR(INDEX(SAN_PHAM!$L$5:$L$26,MATCH($G34,SAN_PHAM!$A$5:$A$26,0))&amp;"?sub_id=ChiGiang-"&amp;SUBSTITUTE($A34,"-","")&amp;"-FBReels-SP"&amp;TEXT($G34,"00"),""))</f>
        <v/>
      </c>
      <c r="J34" s="8">
        <f>IF($G34="","",IFERROR(INDEX(SAN_PHAM!$N$5:$N$26,MATCH($G34,SAN_PHAM!$A$5:$A$26,0)),""))</f>
        <v/>
      </c>
      <c r="K34" s="7" t="n"/>
      <c r="L34" s="7" t="n"/>
      <c r="M34" s="26" t="inlineStr">
        <is>
          <t>Ý tưởng</t>
        </is>
      </c>
      <c r="N34" s="42" t="n"/>
      <c r="O34" s="26" t="n"/>
      <c r="P34" s="7" t="n"/>
      <c r="Q34" s="43" t="n"/>
      <c r="R34" s="43" t="n"/>
      <c r="S34" s="43" t="n"/>
      <c r="T34" s="7" t="n"/>
    </row>
    <row r="35">
      <c r="A35" s="26" t="inlineStr">
        <is>
          <t>T3-006</t>
        </is>
      </c>
      <c r="B35" s="26" t="inlineStr">
        <is>
          <t>T3</t>
        </is>
      </c>
      <c r="C35" s="7" t="inlineStr">
        <is>
          <t>Hỏi đáp gắn SP</t>
        </is>
      </c>
      <c r="D35" s="7" t="inlineStr">
        <is>
          <t>Đêm chuột rút bắp chân là thiếu gì?</t>
        </is>
      </c>
      <c r="E35" s="7" t="inlineStr">
        <is>
          <t>Đang ngủ bị vọp bẻ, anh làm gì đầu tiên?</t>
        </is>
      </c>
      <c r="F35" s="7" t="inlineStr">
        <is>
          <t>Phòng ngủ ban đêm</t>
        </is>
      </c>
      <c r="G35" s="26" t="n">
        <v>15</v>
      </c>
      <c r="H35" s="8">
        <f>IF($G35="","",IFERROR(INDEX(SAN_PHAM!$D$5:$D$26,MATCH($G35,SAN_PHAM!$A$5:$A$26,0)),"Sai mã SP"))</f>
        <v/>
      </c>
      <c r="I35" s="8">
        <f>IF(OR($G35="",$A35=""),"",IFERROR(INDEX(SAN_PHAM!$L$5:$L$26,MATCH($G35,SAN_PHAM!$A$5:$A$26,0))&amp;"?sub_id=ChiGiang-"&amp;SUBSTITUTE($A35,"-","")&amp;"-FBReels-SP"&amp;TEXT($G35,"00"),""))</f>
        <v/>
      </c>
      <c r="J35" s="8">
        <f>IF($G35="","",IFERROR(INDEX(SAN_PHAM!$N$5:$N$26,MATCH($G35,SAN_PHAM!$A$5:$A$26,0)),""))</f>
        <v/>
      </c>
      <c r="K35" s="7" t="n"/>
      <c r="L35" s="7" t="n"/>
      <c r="M35" s="26" t="inlineStr">
        <is>
          <t>Ý tưởng</t>
        </is>
      </c>
      <c r="N35" s="42" t="n"/>
      <c r="O35" s="26" t="n"/>
      <c r="P35" s="7" t="n"/>
      <c r="Q35" s="43" t="n"/>
      <c r="R35" s="43" t="n"/>
      <c r="S35" s="43" t="n"/>
      <c r="T35" s="7" t="n"/>
    </row>
    <row r="36">
      <c r="A36" s="26" t="inlineStr">
        <is>
          <t>T3-007</t>
        </is>
      </c>
      <c r="B36" s="26" t="inlineStr">
        <is>
          <t>T3</t>
        </is>
      </c>
      <c r="C36" s="7" t="inlineStr">
        <is>
          <t>Hỏi đáp gắn SP</t>
        </is>
      </c>
      <c r="D36" s="7" t="inlineStr">
        <is>
          <t>Ngủ không sâu thì bản lĩnh cũng xuống</t>
        </is>
      </c>
      <c r="E36" s="7" t="inlineStr">
        <is>
          <t>Hai giờ sáng vẫn nằm đếm quạt trần?</t>
        </is>
      </c>
      <c r="F36" s="7" t="inlineStr">
        <is>
          <t>Phòng ngủ quạt trần</t>
        </is>
      </c>
      <c r="G36" s="26" t="n">
        <v>14</v>
      </c>
      <c r="H36" s="8">
        <f>IF($G36="","",IFERROR(INDEX(SAN_PHAM!$D$5:$D$26,MATCH($G36,SAN_PHAM!$A$5:$A$26,0)),"Sai mã SP"))</f>
        <v/>
      </c>
      <c r="I36" s="8">
        <f>IF(OR($G36="",$A36=""),"",IFERROR(INDEX(SAN_PHAM!$L$5:$L$26,MATCH($G36,SAN_PHAM!$A$5:$A$26,0))&amp;"?sub_id=ChiGiang-"&amp;SUBSTITUTE($A36,"-","")&amp;"-FBReels-SP"&amp;TEXT($G36,"00"),""))</f>
        <v/>
      </c>
      <c r="J36" s="8">
        <f>IF($G36="","",IFERROR(INDEX(SAN_PHAM!$N$5:$N$26,MATCH($G36,SAN_PHAM!$A$5:$A$26,0)),""))</f>
        <v/>
      </c>
      <c r="K36" s="7" t="n"/>
      <c r="L36" s="7" t="n"/>
      <c r="M36" s="26" t="inlineStr">
        <is>
          <t>Ý tưởng</t>
        </is>
      </c>
      <c r="N36" s="42" t="n"/>
      <c r="O36" s="26" t="n"/>
      <c r="P36" s="7" t="n"/>
      <c r="Q36" s="43" t="n"/>
      <c r="R36" s="43" t="n"/>
      <c r="S36" s="43" t="n"/>
      <c r="T36" s="7" t="n"/>
    </row>
    <row r="37">
      <c r="A37" s="26" t="inlineStr">
        <is>
          <t>T3-008</t>
        </is>
      </c>
      <c r="B37" s="26" t="inlineStr">
        <is>
          <t>T3</t>
        </is>
      </c>
      <c r="C37" s="7" t="inlineStr">
        <is>
          <t>Hỏi đáp gắn SP</t>
        </is>
      </c>
      <c r="D37" s="7" t="inlineStr">
        <is>
          <t>Mỡ máu cao ảnh hưởng chuyện ấy ra sao?</t>
        </is>
      </c>
      <c r="E37" s="7" t="inlineStr">
        <is>
          <t>Bụng to, mỡ máu cao, chuyện ấy có sao không?</t>
        </is>
      </c>
      <c r="F37" s="7" t="inlineStr">
        <is>
          <t>Quán bún bò buổi sáng</t>
        </is>
      </c>
      <c r="G37" s="26" t="n">
        <v>11</v>
      </c>
      <c r="H37" s="8">
        <f>IF($G37="","",IFERROR(INDEX(SAN_PHAM!$D$5:$D$26,MATCH($G37,SAN_PHAM!$A$5:$A$26,0)),"Sai mã SP"))</f>
        <v/>
      </c>
      <c r="I37" s="8">
        <f>IF(OR($G37="",$A37=""),"",IFERROR(INDEX(SAN_PHAM!$L$5:$L$26,MATCH($G37,SAN_PHAM!$A$5:$A$26,0))&amp;"?sub_id=ChiGiang-"&amp;SUBSTITUTE($A37,"-","")&amp;"-FBReels-SP"&amp;TEXT($G37,"00"),""))</f>
        <v/>
      </c>
      <c r="J37" s="8">
        <f>IF($G37="","",IFERROR(INDEX(SAN_PHAM!$N$5:$N$26,MATCH($G37,SAN_PHAM!$A$5:$A$26,0)),""))</f>
        <v/>
      </c>
      <c r="K37" s="7" t="n"/>
      <c r="L37" s="7" t="n"/>
      <c r="M37" s="26" t="inlineStr">
        <is>
          <t>Ý tưởng</t>
        </is>
      </c>
      <c r="N37" s="42" t="n"/>
      <c r="O37" s="26" t="n"/>
      <c r="P37" s="7" t="n"/>
      <c r="Q37" s="43" t="n"/>
      <c r="R37" s="43" t="n"/>
      <c r="S37" s="43" t="n"/>
      <c r="T37" s="7" t="n"/>
    </row>
    <row r="38">
      <c r="A38" s="26" t="inlineStr">
        <is>
          <t>T3-009</t>
        </is>
      </c>
      <c r="B38" s="26" t="inlineStr">
        <is>
          <t>T3</t>
        </is>
      </c>
      <c r="C38" s="7" t="inlineStr">
        <is>
          <t>Hỏi đáp gắn SP</t>
        </is>
      </c>
      <c r="D38" s="7" t="inlineStr">
        <is>
          <t>Đau khớp gối mùa lạnh</t>
        </is>
      </c>
      <c r="E38" s="7" t="inlineStr">
        <is>
          <t>Gối kêu lục cục mỗi lần đứng dậy?</t>
        </is>
      </c>
      <c r="F38" s="7" t="inlineStr">
        <is>
          <t>Cầu thang nhà</t>
        </is>
      </c>
      <c r="G38" s="26" t="n">
        <v>10</v>
      </c>
      <c r="H38" s="8">
        <f>IF($G38="","",IFERROR(INDEX(SAN_PHAM!$D$5:$D$26,MATCH($G38,SAN_PHAM!$A$5:$A$26,0)),"Sai mã SP"))</f>
        <v/>
      </c>
      <c r="I38" s="8">
        <f>IF(OR($G38="",$A38=""),"",IFERROR(INDEX(SAN_PHAM!$L$5:$L$26,MATCH($G38,SAN_PHAM!$A$5:$A$26,0))&amp;"?sub_id=ChiGiang-"&amp;SUBSTITUTE($A38,"-","")&amp;"-FBReels-SP"&amp;TEXT($G38,"00"),""))</f>
        <v/>
      </c>
      <c r="J38" s="8">
        <f>IF($G38="","",IFERROR(INDEX(SAN_PHAM!$N$5:$N$26,MATCH($G38,SAN_PHAM!$A$5:$A$26,0)),""))</f>
        <v/>
      </c>
      <c r="K38" s="7" t="n"/>
      <c r="L38" s="7" t="n"/>
      <c r="M38" s="26" t="inlineStr">
        <is>
          <t>Ý tưởng</t>
        </is>
      </c>
      <c r="N38" s="42" t="n"/>
      <c r="O38" s="26" t="n"/>
      <c r="P38" s="7" t="n"/>
      <c r="Q38" s="43" t="n"/>
      <c r="R38" s="43" t="n"/>
      <c r="S38" s="43" t="n"/>
      <c r="T38" s="7" t="n"/>
    </row>
    <row r="39">
      <c r="A39" s="26" t="inlineStr">
        <is>
          <t>T3-010</t>
        </is>
      </c>
      <c r="B39" s="26" t="inlineStr">
        <is>
          <t>T3</t>
        </is>
      </c>
      <c r="C39" s="7" t="inlineStr">
        <is>
          <t>Hỏi đáp</t>
        </is>
      </c>
      <c r="D39" s="7" t="inlineStr">
        <is>
          <t>Sau đặt stent gần vợ được không?</t>
        </is>
      </c>
      <c r="E39" s="7" t="inlineStr">
        <is>
          <t>Mới đặt stent, bao lâu mới được gần vợ?</t>
        </is>
      </c>
      <c r="F39" s="7" t="inlineStr">
        <is>
          <t>Phòng khách</t>
        </is>
      </c>
      <c r="G39" s="26" t="n"/>
      <c r="H39" s="8">
        <f>IF($G39="","",IFERROR(INDEX(SAN_PHAM!$D$5:$D$26,MATCH($G39,SAN_PHAM!$A$5:$A$26,0)),"Sai mã SP"))</f>
        <v/>
      </c>
      <c r="I39" s="8">
        <f>IF(OR($G39="",$A39=""),"",IFERROR(INDEX(SAN_PHAM!$L$5:$L$26,MATCH($G39,SAN_PHAM!$A$5:$A$26,0))&amp;"?sub_id=ChiGiang-"&amp;SUBSTITUTE($A39,"-","")&amp;"-FBReels-SP"&amp;TEXT($G39,"00"),""))</f>
        <v/>
      </c>
      <c r="J39" s="8">
        <f>IF($G39="","",IFERROR(INDEX(SAN_PHAM!$N$5:$N$26,MATCH($G39,SAN_PHAM!$A$5:$A$26,0)),""))</f>
        <v/>
      </c>
      <c r="K39" s="7" t="n"/>
      <c r="L39" s="7" t="n"/>
      <c r="M39" s="26" t="inlineStr">
        <is>
          <t>Ý tưởng</t>
        </is>
      </c>
      <c r="N39" s="42" t="n"/>
      <c r="O39" s="26" t="n"/>
      <c r="P39" s="7" t="n"/>
      <c r="Q39" s="43" t="n"/>
      <c r="R39" s="43" t="n"/>
      <c r="S39" s="43" t="n"/>
      <c r="T39" s="7" t="n"/>
    </row>
    <row r="40">
      <c r="A40" s="26" t="inlineStr">
        <is>
          <t>T3-011</t>
        </is>
      </c>
      <c r="B40" s="26" t="inlineStr">
        <is>
          <t>T3</t>
        </is>
      </c>
      <c r="C40" s="7" t="inlineStr">
        <is>
          <t>Hỏi đáp</t>
        </is>
      </c>
      <c r="D40" s="7" t="inlineStr">
        <is>
          <t>Gút và chuyện ấy</t>
        </is>
      </c>
      <c r="E40" s="7" t="inlineStr">
        <is>
          <t>Gút sưng chân, chuyện ấy có bị gì không?</t>
        </is>
      </c>
      <c r="F40" s="7" t="inlineStr">
        <is>
          <t>Bàn nhậu hải sản</t>
        </is>
      </c>
      <c r="G40" s="26" t="n"/>
      <c r="H40" s="8">
        <f>IF($G40="","",IFERROR(INDEX(SAN_PHAM!$D$5:$D$26,MATCH($G40,SAN_PHAM!$A$5:$A$26,0)),"Sai mã SP"))</f>
        <v/>
      </c>
      <c r="I40" s="8">
        <f>IF(OR($G40="",$A40=""),"",IFERROR(INDEX(SAN_PHAM!$L$5:$L$26,MATCH($G40,SAN_PHAM!$A$5:$A$26,0))&amp;"?sub_id=ChiGiang-"&amp;SUBSTITUTE($A40,"-","")&amp;"-FBReels-SP"&amp;TEXT($G40,"00"),""))</f>
        <v/>
      </c>
      <c r="J40" s="8">
        <f>IF($G40="","",IFERROR(INDEX(SAN_PHAM!$N$5:$N$26,MATCH($G40,SAN_PHAM!$A$5:$A$26,0)),""))</f>
        <v/>
      </c>
      <c r="K40" s="7" t="n"/>
      <c r="L40" s="7" t="n"/>
      <c r="M40" s="26" t="inlineStr">
        <is>
          <t>Ý tưởng</t>
        </is>
      </c>
      <c r="N40" s="42" t="n"/>
      <c r="O40" s="26" t="n"/>
      <c r="P40" s="7" t="n"/>
      <c r="Q40" s="43" t="n"/>
      <c r="R40" s="43" t="n"/>
      <c r="S40" s="43" t="n"/>
      <c r="T40" s="7" t="n"/>
    </row>
    <row r="41">
      <c r="A41" s="26" t="inlineStr">
        <is>
          <t>T4-001</t>
        </is>
      </c>
      <c r="B41" s="26" t="inlineStr">
        <is>
          <t>T4</t>
        </is>
      </c>
      <c r="C41" s="7" t="inlineStr">
        <is>
          <t>Review sản phẩm</t>
        </is>
      </c>
      <c r="D41" s="7" t="inlineStr">
        <is>
          <t>Review dầu gội phủ bạc Nezha: gội một lần tóc đen</t>
        </is>
      </c>
      <c r="E41" s="7" t="inlineStr">
        <is>
          <t>Tóc bạc trắng đầu, gội một lần là đen?</t>
        </is>
      </c>
      <c r="F41" s="7" t="inlineStr">
        <is>
          <t>Phòng tắm, chú Tư làm mẫu</t>
        </is>
      </c>
      <c r="G41" s="26" t="n">
        <v>16</v>
      </c>
      <c r="H41" s="8">
        <f>IF($G41="","",IFERROR(INDEX(SAN_PHAM!$D$5:$D$26,MATCH($G41,SAN_PHAM!$A$5:$A$26,0)),"Sai mã SP"))</f>
        <v/>
      </c>
      <c r="I41" s="8">
        <f>IF(OR($G41="",$A41=""),"",IFERROR(INDEX(SAN_PHAM!$L$5:$L$26,MATCH($G41,SAN_PHAM!$A$5:$A$26,0))&amp;"?sub_id=ChiGiang-"&amp;SUBSTITUTE($A41,"-","")&amp;"-FBReels-SP"&amp;TEXT($G41,"00"),""))</f>
        <v/>
      </c>
      <c r="J41" s="8">
        <f>IF($G41="","",IFERROR(INDEX(SAN_PHAM!$N$5:$N$26,MATCH($G41,SAN_PHAM!$A$5:$A$26,0)),""))</f>
        <v/>
      </c>
      <c r="K41" s="7" t="n"/>
      <c r="L41" s="7" t="n"/>
      <c r="M41" s="26" t="inlineStr">
        <is>
          <t>Ý tưởng</t>
        </is>
      </c>
      <c r="N41" s="42" t="n"/>
      <c r="O41" s="26" t="n"/>
      <c r="P41" s="7" t="n"/>
      <c r="Q41" s="43" t="n"/>
      <c r="R41" s="43" t="n"/>
      <c r="S41" s="43" t="n"/>
      <c r="T41" s="7" t="n"/>
    </row>
    <row r="42">
      <c r="A42" s="26" t="inlineStr">
        <is>
          <t>T4-002</t>
        </is>
      </c>
      <c r="B42" s="26" t="inlineStr">
        <is>
          <t>T4</t>
        </is>
      </c>
      <c r="C42" s="7" t="inlineStr">
        <is>
          <t>Hỏi đáp gắn SP</t>
        </is>
      </c>
      <c r="D42" s="7" t="inlineStr">
        <is>
          <t>Tóc bạc sớm, vợ chê già</t>
        </is>
      </c>
      <c r="E42" s="7" t="inlineStr">
        <is>
          <t>Vợ nói anh nhìn già hơn tuổi?</t>
        </is>
      </c>
      <c r="F42" s="7" t="inlineStr">
        <is>
          <t>Tiệm hớt tóc</t>
        </is>
      </c>
      <c r="G42" s="26" t="n">
        <v>16</v>
      </c>
      <c r="H42" s="8">
        <f>IF($G42="","",IFERROR(INDEX(SAN_PHAM!$D$5:$D$26,MATCH($G42,SAN_PHAM!$A$5:$A$26,0)),"Sai mã SP"))</f>
        <v/>
      </c>
      <c r="I42" s="8">
        <f>IF(OR($G42="",$A42=""),"",IFERROR(INDEX(SAN_PHAM!$L$5:$L$26,MATCH($G42,SAN_PHAM!$A$5:$A$26,0))&amp;"?sub_id=ChiGiang-"&amp;SUBSTITUTE($A42,"-","")&amp;"-FBReels-SP"&amp;TEXT($G42,"00"),""))</f>
        <v/>
      </c>
      <c r="J42" s="8">
        <f>IF($G42="","",IFERROR(INDEX(SAN_PHAM!$N$5:$N$26,MATCH($G42,SAN_PHAM!$A$5:$A$26,0)),""))</f>
        <v/>
      </c>
      <c r="K42" s="7" t="n"/>
      <c r="L42" s="7" t="n"/>
      <c r="M42" s="26" t="inlineStr">
        <is>
          <t>Ý tưởng</t>
        </is>
      </c>
      <c r="N42" s="42" t="n"/>
      <c r="O42" s="26" t="n"/>
      <c r="P42" s="7" t="n"/>
      <c r="Q42" s="43" t="n"/>
      <c r="R42" s="43" t="n"/>
      <c r="S42" s="43" t="n"/>
      <c r="T42" s="7" t="n"/>
    </row>
    <row r="43">
      <c r="A43" s="26" t="inlineStr">
        <is>
          <t>T4-003</t>
        </is>
      </c>
      <c r="B43" s="26" t="inlineStr">
        <is>
          <t>T4</t>
        </is>
      </c>
      <c r="C43" s="7" t="inlineStr">
        <is>
          <t>Hỏi đáp gắn SP</t>
        </is>
      </c>
      <c r="D43" s="7" t="inlineStr">
        <is>
          <t>Ngại ra tiệm nhuộm: gội phủ bạc tại nhà</t>
        </is>
      </c>
      <c r="E43" s="7" t="inlineStr">
        <is>
          <t>Ra tiệm nhuộm mất cả buổi, ở nhà gội mười lăm phút?</t>
        </is>
      </c>
      <c r="F43" s="7" t="inlineStr">
        <is>
          <t>Trước gương phòng tắm</t>
        </is>
      </c>
      <c r="G43" s="26" t="n">
        <v>17</v>
      </c>
      <c r="H43" s="8">
        <f>IF($G43="","",IFERROR(INDEX(SAN_PHAM!$D$5:$D$26,MATCH($G43,SAN_PHAM!$A$5:$A$26,0)),"Sai mã SP"))</f>
        <v/>
      </c>
      <c r="I43" s="8">
        <f>IF(OR($G43="",$A43=""),"",IFERROR(INDEX(SAN_PHAM!$L$5:$L$26,MATCH($G43,SAN_PHAM!$A$5:$A$26,0))&amp;"?sub_id=ChiGiang-"&amp;SUBSTITUTE($A43,"-","")&amp;"-FBReels-SP"&amp;TEXT($G43,"00"),""))</f>
        <v/>
      </c>
      <c r="J43" s="8">
        <f>IF($G43="","",IFERROR(INDEX(SAN_PHAM!$N$5:$N$26,MATCH($G43,SAN_PHAM!$A$5:$A$26,0)),""))</f>
        <v/>
      </c>
      <c r="K43" s="7" t="n"/>
      <c r="L43" s="7" t="n"/>
      <c r="M43" s="26" t="inlineStr">
        <is>
          <t>Ý tưởng</t>
        </is>
      </c>
      <c r="N43" s="42" t="n"/>
      <c r="O43" s="26" t="n"/>
      <c r="P43" s="7" t="n"/>
      <c r="Q43" s="43" t="n"/>
      <c r="R43" s="43" t="n"/>
      <c r="S43" s="43" t="n"/>
      <c r="T43" s="7" t="n"/>
    </row>
    <row r="44">
      <c r="A44" s="26" t="inlineStr">
        <is>
          <t>T4-004</t>
        </is>
      </c>
      <c r="B44" s="26" t="inlineStr">
        <is>
          <t>T4</t>
        </is>
      </c>
      <c r="C44" s="7" t="inlineStr">
        <is>
          <t>Hỏi đáp gắn SP</t>
        </is>
      </c>
      <c r="D44" s="7" t="inlineStr">
        <is>
          <t>Ngứa, mùi vùng kín đàn ông do đâu?</t>
        </is>
      </c>
      <c r="E44" s="7" t="inlineStr">
        <is>
          <t>Ngứa mà không dám gãi trước mặt ai?</t>
        </is>
      </c>
      <c r="F44" s="7" t="inlineStr">
        <is>
          <t>Phòng tắm</t>
        </is>
      </c>
      <c r="G44" s="26" t="n">
        <v>6</v>
      </c>
      <c r="H44" s="8">
        <f>IF($G44="","",IFERROR(INDEX(SAN_PHAM!$D$5:$D$26,MATCH($G44,SAN_PHAM!$A$5:$A$26,0)),"Sai mã SP"))</f>
        <v/>
      </c>
      <c r="I44" s="8">
        <f>IF(OR($G44="",$A44=""),"",IFERROR(INDEX(SAN_PHAM!$L$5:$L$26,MATCH($G44,SAN_PHAM!$A$5:$A$26,0))&amp;"?sub_id=ChiGiang-"&amp;SUBSTITUTE($A44,"-","")&amp;"-FBReels-SP"&amp;TEXT($G44,"00"),""))</f>
        <v/>
      </c>
      <c r="J44" s="8">
        <f>IF($G44="","",IFERROR(INDEX(SAN_PHAM!$N$5:$N$26,MATCH($G44,SAN_PHAM!$A$5:$A$26,0)),""))</f>
        <v/>
      </c>
      <c r="K44" s="7" t="n"/>
      <c r="L44" s="7" t="n"/>
      <c r="M44" s="26" t="inlineStr">
        <is>
          <t>Ý tưởng</t>
        </is>
      </c>
      <c r="N44" s="42" t="n"/>
      <c r="O44" s="26" t="n"/>
      <c r="P44" s="7" t="n"/>
      <c r="Q44" s="43" t="n"/>
      <c r="R44" s="43" t="n"/>
      <c r="S44" s="43" t="n"/>
      <c r="T44" s="7" t="n"/>
    </row>
    <row r="45">
      <c r="A45" s="26" t="inlineStr">
        <is>
          <t>T4-005</t>
        </is>
      </c>
      <c r="B45" s="26" t="inlineStr">
        <is>
          <t>T4</t>
        </is>
      </c>
      <c r="C45" s="7" t="inlineStr">
        <is>
          <t>Review sản phẩm</t>
        </is>
      </c>
      <c r="D45" s="7" t="inlineStr">
        <is>
          <t>Review bọt vệ sinh nam Oniiz</t>
        </is>
      </c>
      <c r="E45" s="7" t="inlineStr">
        <is>
          <t>Đàn ông cũng cần dung dịch vệ sinh riêng?</t>
        </is>
      </c>
      <c r="F45" s="7" t="inlineStr">
        <is>
          <t>Phòng tắm</t>
        </is>
      </c>
      <c r="G45" s="26" t="n">
        <v>6</v>
      </c>
      <c r="H45" s="8">
        <f>IF($G45="","",IFERROR(INDEX(SAN_PHAM!$D$5:$D$26,MATCH($G45,SAN_PHAM!$A$5:$A$26,0)),"Sai mã SP"))</f>
        <v/>
      </c>
      <c r="I45" s="8">
        <f>IF(OR($G45="",$A45=""),"",IFERROR(INDEX(SAN_PHAM!$L$5:$L$26,MATCH($G45,SAN_PHAM!$A$5:$A$26,0))&amp;"?sub_id=ChiGiang-"&amp;SUBSTITUTE($A45,"-","")&amp;"-FBReels-SP"&amp;TEXT($G45,"00"),""))</f>
        <v/>
      </c>
      <c r="J45" s="8">
        <f>IF($G45="","",IFERROR(INDEX(SAN_PHAM!$N$5:$N$26,MATCH($G45,SAN_PHAM!$A$5:$A$26,0)),""))</f>
        <v/>
      </c>
      <c r="K45" s="7" t="n"/>
      <c r="L45" s="7" t="n"/>
      <c r="M45" s="26" t="inlineStr">
        <is>
          <t>Ý tưởng</t>
        </is>
      </c>
      <c r="N45" s="42" t="n"/>
      <c r="O45" s="26" t="n"/>
      <c r="P45" s="7" t="n"/>
      <c r="Q45" s="43" t="n"/>
      <c r="R45" s="43" t="n"/>
      <c r="S45" s="43" t="n"/>
      <c r="T45" s="7" t="n"/>
    </row>
    <row r="46">
      <c r="A46" s="26" t="inlineStr">
        <is>
          <t>T4-006</t>
        </is>
      </c>
      <c r="B46" s="26" t="inlineStr">
        <is>
          <t>T4</t>
        </is>
      </c>
      <c r="C46" s="7" t="inlineStr">
        <is>
          <t>Hỏi đáp gắn SP</t>
        </is>
      </c>
      <c r="D46" s="7" t="inlineStr">
        <is>
          <t>Mặc quần lót chật ảnh hưởng gì?</t>
        </is>
      </c>
      <c r="E46" s="7" t="inlineStr">
        <is>
          <t>Quần lót mấy năm chưa thay, anh có không?</t>
        </is>
      </c>
      <c r="F46" s="7" t="inlineStr">
        <is>
          <t>Phòng ngủ, tủ đồ</t>
        </is>
      </c>
      <c r="G46" s="26" t="n">
        <v>18</v>
      </c>
      <c r="H46" s="8">
        <f>IF($G46="","",IFERROR(INDEX(SAN_PHAM!$D$5:$D$26,MATCH($G46,SAN_PHAM!$A$5:$A$26,0)),"Sai mã SP"))</f>
        <v/>
      </c>
      <c r="I46" s="8">
        <f>IF(OR($G46="",$A46=""),"",IFERROR(INDEX(SAN_PHAM!$L$5:$L$26,MATCH($G46,SAN_PHAM!$A$5:$A$26,0))&amp;"?sub_id=ChiGiang-"&amp;SUBSTITUTE($A46,"-","")&amp;"-FBReels-SP"&amp;TEXT($G46,"00"),""))</f>
        <v/>
      </c>
      <c r="J46" s="8">
        <f>IF($G46="","",IFERROR(INDEX(SAN_PHAM!$N$5:$N$26,MATCH($G46,SAN_PHAM!$A$5:$A$26,0)),""))</f>
        <v/>
      </c>
      <c r="K46" s="7" t="n"/>
      <c r="L46" s="7" t="n"/>
      <c r="M46" s="26" t="inlineStr">
        <is>
          <t>Ý tưởng</t>
        </is>
      </c>
      <c r="N46" s="42" t="n"/>
      <c r="O46" s="26" t="n"/>
      <c r="P46" s="7" t="n"/>
      <c r="Q46" s="43" t="n"/>
      <c r="R46" s="43" t="n"/>
      <c r="S46" s="43" t="n"/>
      <c r="T46" s="7" t="n"/>
    </row>
    <row r="47">
      <c r="A47" s="26" t="inlineStr">
        <is>
          <t>T4-007</t>
        </is>
      </c>
      <c r="B47" s="26" t="inlineStr">
        <is>
          <t>T4</t>
        </is>
      </c>
      <c r="C47" s="7" t="inlineStr">
        <is>
          <t>Hỏi đáp gắn SP</t>
        </is>
      </c>
      <c r="D47" s="7" t="inlineStr">
        <is>
          <t>Tài xế ngồi nhiều: vùng kín nóng bí</t>
        </is>
      </c>
      <c r="E47" s="7" t="inlineStr">
        <is>
          <t>Chạy xe cả ngày, chỗ đó nóng như lò?</t>
        </is>
      </c>
      <c r="F47" s="7" t="inlineStr">
        <is>
          <t>Cabin xe tải / xe ôm công nghệ</t>
        </is>
      </c>
      <c r="G47" s="26" t="n">
        <v>18</v>
      </c>
      <c r="H47" s="8">
        <f>IF($G47="","",IFERROR(INDEX(SAN_PHAM!$D$5:$D$26,MATCH($G47,SAN_PHAM!$A$5:$A$26,0)),"Sai mã SP"))</f>
        <v/>
      </c>
      <c r="I47" s="8">
        <f>IF(OR($G47="",$A47=""),"",IFERROR(INDEX(SAN_PHAM!$L$5:$L$26,MATCH($G47,SAN_PHAM!$A$5:$A$26,0))&amp;"?sub_id=ChiGiang-"&amp;SUBSTITUTE($A47,"-","")&amp;"-FBReels-SP"&amp;TEXT($G47,"00"),""))</f>
        <v/>
      </c>
      <c r="J47" s="8">
        <f>IF($G47="","",IFERROR(INDEX(SAN_PHAM!$N$5:$N$26,MATCH($G47,SAN_PHAM!$A$5:$A$26,0)),""))</f>
        <v/>
      </c>
      <c r="K47" s="7" t="n"/>
      <c r="L47" s="7" t="n"/>
      <c r="M47" s="26" t="inlineStr">
        <is>
          <t>Ý tưởng</t>
        </is>
      </c>
      <c r="N47" s="42" t="n"/>
      <c r="O47" s="26" t="n"/>
      <c r="P47" s="7" t="n"/>
      <c r="Q47" s="43" t="n"/>
      <c r="R47" s="43" t="n"/>
      <c r="S47" s="43" t="n"/>
      <c r="T47" s="7" t="n"/>
    </row>
    <row r="48">
      <c r="A48" s="26" t="inlineStr">
        <is>
          <t>T4-008</t>
        </is>
      </c>
      <c r="B48" s="26" t="inlineStr">
        <is>
          <t>T4</t>
        </is>
      </c>
      <c r="C48" s="7" t="inlineStr">
        <is>
          <t>Review sản phẩm</t>
        </is>
      </c>
      <c r="D48" s="7" t="inlineStr">
        <is>
          <t>Review quần boxer thông hơi: tài xế, ngồi nhiều</t>
        </is>
      </c>
      <c r="E48" s="7" t="inlineStr">
        <is>
          <t>Quần lót mặc cả ngày mà không bí, có không?</t>
        </is>
      </c>
      <c r="F48" s="7" t="inlineStr">
        <is>
          <t>Cabin xe, tủ đồ</t>
        </is>
      </c>
      <c r="G48" s="26" t="n">
        <v>18</v>
      </c>
      <c r="H48" s="8">
        <f>IF($G48="","",IFERROR(INDEX(SAN_PHAM!$D$5:$D$26,MATCH($G48,SAN_PHAM!$A$5:$A$26,0)),"Sai mã SP"))</f>
        <v/>
      </c>
      <c r="I48" s="8">
        <f>IF(OR($G48="",$A48=""),"",IFERROR(INDEX(SAN_PHAM!$L$5:$L$26,MATCH($G48,SAN_PHAM!$A$5:$A$26,0))&amp;"?sub_id=ChiGiang-"&amp;SUBSTITUTE($A48,"-","")&amp;"-FBReels-SP"&amp;TEXT($G48,"00"),""))</f>
        <v/>
      </c>
      <c r="J48" s="8">
        <f>IF($G48="","",IFERROR(INDEX(SAN_PHAM!$N$5:$N$26,MATCH($G48,SAN_PHAM!$A$5:$A$26,0)),""))</f>
        <v/>
      </c>
      <c r="K48" s="7" t="n"/>
      <c r="L48" s="7" t="n"/>
      <c r="M48" s="26" t="inlineStr">
        <is>
          <t>Ý tưởng</t>
        </is>
      </c>
      <c r="N48" s="42" t="n"/>
      <c r="O48" s="26" t="n"/>
      <c r="P48" s="7" t="n"/>
      <c r="Q48" s="43" t="n"/>
      <c r="R48" s="43" t="n"/>
      <c r="S48" s="43" t="n"/>
      <c r="T48" s="7" t="n"/>
    </row>
    <row r="49">
      <c r="A49" s="26" t="inlineStr">
        <is>
          <t>T4-009</t>
        </is>
      </c>
      <c r="B49" s="26" t="inlineStr">
        <is>
          <t>T4</t>
        </is>
      </c>
      <c r="C49" s="7" t="inlineStr">
        <is>
          <t>Hỏi đáp</t>
        </is>
      </c>
      <c r="D49" s="7" t="inlineStr">
        <is>
          <t>Bụng bia và chuyện ấy</t>
        </is>
      </c>
      <c r="E49" s="7" t="inlineStr">
        <is>
          <t>Bụng to che mất tầm nhìn rồi mấy anh</t>
        </is>
      </c>
      <c r="F49" s="7" t="inlineStr">
        <is>
          <t>Quán nhậu</t>
        </is>
      </c>
      <c r="G49" s="26" t="n"/>
      <c r="H49" s="8">
        <f>IF($G49="","",IFERROR(INDEX(SAN_PHAM!$D$5:$D$26,MATCH($G49,SAN_PHAM!$A$5:$A$26,0)),"Sai mã SP"))</f>
        <v/>
      </c>
      <c r="I49" s="8">
        <f>IF(OR($G49="",$A49=""),"",IFERROR(INDEX(SAN_PHAM!$L$5:$L$26,MATCH($G49,SAN_PHAM!$A$5:$A$26,0))&amp;"?sub_id=ChiGiang-"&amp;SUBSTITUTE($A49,"-","")&amp;"-FBReels-SP"&amp;TEXT($G49,"00"),""))</f>
        <v/>
      </c>
      <c r="J49" s="8">
        <f>IF($G49="","",IFERROR(INDEX(SAN_PHAM!$N$5:$N$26,MATCH($G49,SAN_PHAM!$A$5:$A$26,0)),""))</f>
        <v/>
      </c>
      <c r="K49" s="7" t="n"/>
      <c r="L49" s="7" t="n"/>
      <c r="M49" s="26" t="inlineStr">
        <is>
          <t>Ý tưởng</t>
        </is>
      </c>
      <c r="N49" s="42" t="n"/>
      <c r="O49" s="26" t="n"/>
      <c r="P49" s="7" t="n"/>
      <c r="Q49" s="43" t="n"/>
      <c r="R49" s="43" t="n"/>
      <c r="S49" s="43" t="n"/>
      <c r="T49" s="7" t="n"/>
    </row>
    <row r="50">
      <c r="A50" s="26" t="inlineStr">
        <is>
          <t>T5-001</t>
        </is>
      </c>
      <c r="B50" s="26" t="inlineStr">
        <is>
          <t>T5</t>
        </is>
      </c>
      <c r="C50" s="7" t="inlineStr">
        <is>
          <t>Review sản phẩm</t>
        </is>
      </c>
      <c r="D50" s="7" t="inlineStr">
        <is>
          <t>Review gối massage hồng ngoại: cổ vai gáy</t>
        </is>
      </c>
      <c r="E50" s="7" t="inlineStr">
        <is>
          <t>Cổ vai gáy cứng đơ, mười lăm phút là nhẹ người?</t>
        </is>
      </c>
      <c r="F50" s="7" t="inlineStr">
        <is>
          <t>Sofa phòng khách</t>
        </is>
      </c>
      <c r="G50" s="26" t="n">
        <v>20</v>
      </c>
      <c r="H50" s="8">
        <f>IF($G50="","",IFERROR(INDEX(SAN_PHAM!$D$5:$D$26,MATCH($G50,SAN_PHAM!$A$5:$A$26,0)),"Sai mã SP"))</f>
        <v/>
      </c>
      <c r="I50" s="8">
        <f>IF(OR($G50="",$A50=""),"",IFERROR(INDEX(SAN_PHAM!$L$5:$L$26,MATCH($G50,SAN_PHAM!$A$5:$A$26,0))&amp;"?sub_id=ChiGiang-"&amp;SUBSTITUTE($A50,"-","")&amp;"-FBReels-SP"&amp;TEXT($G50,"00"),""))</f>
        <v/>
      </c>
      <c r="J50" s="8">
        <f>IF($G50="","",IFERROR(INDEX(SAN_PHAM!$N$5:$N$26,MATCH($G50,SAN_PHAM!$A$5:$A$26,0)),""))</f>
        <v/>
      </c>
      <c r="K50" s="7" t="n"/>
      <c r="L50" s="7" t="n"/>
      <c r="M50" s="26" t="inlineStr">
        <is>
          <t>Ý tưởng</t>
        </is>
      </c>
      <c r="N50" s="42" t="n"/>
      <c r="O50" s="26" t="n"/>
      <c r="P50" s="7" t="n"/>
      <c r="Q50" s="43" t="n"/>
      <c r="R50" s="43" t="n"/>
      <c r="S50" s="43" t="n"/>
      <c r="T50" s="7" t="n"/>
    </row>
    <row r="51">
      <c r="A51" s="26" t="inlineStr">
        <is>
          <t>T5-002</t>
        </is>
      </c>
      <c r="B51" s="26" t="inlineStr">
        <is>
          <t>T5</t>
        </is>
      </c>
      <c r="C51" s="7" t="inlineStr">
        <is>
          <t>Hỏi đáp gắn SP</t>
        </is>
      </c>
      <c r="D51" s="7" t="inlineStr">
        <is>
          <t>Mỏi cổ vai gáy vì coi điện thoại nhiều</t>
        </is>
      </c>
      <c r="E51" s="7" t="inlineStr">
        <is>
          <t>Coi điện thoại cả ngày, cổ cứng đơ?</t>
        </is>
      </c>
      <c r="F51" s="7" t="inlineStr">
        <is>
          <t>Ghế bố, điện thoại</t>
        </is>
      </c>
      <c r="G51" s="26" t="n">
        <v>20</v>
      </c>
      <c r="H51" s="8">
        <f>IF($G51="","",IFERROR(INDEX(SAN_PHAM!$D$5:$D$26,MATCH($G51,SAN_PHAM!$A$5:$A$26,0)),"Sai mã SP"))</f>
        <v/>
      </c>
      <c r="I51" s="8">
        <f>IF(OR($G51="",$A51=""),"",IFERROR(INDEX(SAN_PHAM!$L$5:$L$26,MATCH($G51,SAN_PHAM!$A$5:$A$26,0))&amp;"?sub_id=ChiGiang-"&amp;SUBSTITUTE($A51,"-","")&amp;"-FBReels-SP"&amp;TEXT($G51,"00"),""))</f>
        <v/>
      </c>
      <c r="J51" s="8">
        <f>IF($G51="","",IFERROR(INDEX(SAN_PHAM!$N$5:$N$26,MATCH($G51,SAN_PHAM!$A$5:$A$26,0)),""))</f>
        <v/>
      </c>
      <c r="K51" s="7" t="n"/>
      <c r="L51" s="7" t="n"/>
      <c r="M51" s="26" t="inlineStr">
        <is>
          <t>Ý tưởng</t>
        </is>
      </c>
      <c r="N51" s="42" t="n"/>
      <c r="O51" s="26" t="n"/>
      <c r="P51" s="7" t="n"/>
      <c r="Q51" s="43" t="n"/>
      <c r="R51" s="43" t="n"/>
      <c r="S51" s="43" t="n"/>
      <c r="T51" s="7" t="n"/>
    </row>
    <row r="52">
      <c r="A52" s="26" t="inlineStr">
        <is>
          <t>T5-003</t>
        </is>
      </c>
      <c r="B52" s="26" t="inlineStr">
        <is>
          <t>T5</t>
        </is>
      </c>
      <c r="C52" s="7" t="inlineStr">
        <is>
          <t>Tình huống vợ chồng</t>
        </is>
      </c>
      <c r="D52" s="7" t="inlineStr">
        <is>
          <t>Quà cho ba dịp cuối năm: gối massage hồng ngoại</t>
        </is>
      </c>
      <c r="E52" s="7" t="inlineStr">
        <is>
          <t>Ba nói không cần gì, nhưng ba cần cái này</t>
        </is>
      </c>
      <c r="F52" s="7" t="inlineStr">
        <is>
          <t>Phòng khách, con trai tặng quà</t>
        </is>
      </c>
      <c r="G52" s="26" t="n">
        <v>20</v>
      </c>
      <c r="H52" s="8">
        <f>IF($G52="","",IFERROR(INDEX(SAN_PHAM!$D$5:$D$26,MATCH($G52,SAN_PHAM!$A$5:$A$26,0)),"Sai mã SP"))</f>
        <v/>
      </c>
      <c r="I52" s="8">
        <f>IF(OR($G52="",$A52=""),"",IFERROR(INDEX(SAN_PHAM!$L$5:$L$26,MATCH($G52,SAN_PHAM!$A$5:$A$26,0))&amp;"?sub_id=ChiGiang-"&amp;SUBSTITUTE($A52,"-","")&amp;"-FBReels-SP"&amp;TEXT($G52,"00"),""))</f>
        <v/>
      </c>
      <c r="J52" s="8">
        <f>IF($G52="","",IFERROR(INDEX(SAN_PHAM!$N$5:$N$26,MATCH($G52,SAN_PHAM!$A$5:$A$26,0)),""))</f>
        <v/>
      </c>
      <c r="K52" s="7" t="n"/>
      <c r="L52" s="7" t="n"/>
      <c r="M52" s="26" t="inlineStr">
        <is>
          <t>Ý tưởng</t>
        </is>
      </c>
      <c r="N52" s="42" t="n"/>
      <c r="O52" s="26" t="n"/>
      <c r="P52" s="7" t="n"/>
      <c r="Q52" s="43" t="n"/>
      <c r="R52" s="43" t="n"/>
      <c r="S52" s="43" t="n"/>
      <c r="T52" s="7" t="n"/>
    </row>
    <row r="53">
      <c r="A53" s="26" t="inlineStr">
        <is>
          <t>T5-004</t>
        </is>
      </c>
      <c r="B53" s="26" t="inlineStr">
        <is>
          <t>T5</t>
        </is>
      </c>
      <c r="C53" s="7" t="inlineStr">
        <is>
          <t>Hỏi đáp gắn SP</t>
        </is>
      </c>
      <c r="D53" s="7" t="inlineStr">
        <is>
          <t>Móng chân dày, quặp: cắt sao cho khỏi đau?</t>
        </is>
      </c>
      <c r="E53" s="7" t="inlineStr">
        <is>
          <t>Móng chân dày như vỏ ốc, cắt không nổi?</t>
        </is>
      </c>
      <c r="F53" s="7" t="inlineStr">
        <is>
          <t>Hiên nhà, ghế đẩu</t>
        </is>
      </c>
      <c r="G53" s="26" t="n">
        <v>22</v>
      </c>
      <c r="H53" s="8">
        <f>IF($G53="","",IFERROR(INDEX(SAN_PHAM!$D$5:$D$26,MATCH($G53,SAN_PHAM!$A$5:$A$26,0)),"Sai mã SP"))</f>
        <v/>
      </c>
      <c r="I53" s="8">
        <f>IF(OR($G53="",$A53=""),"",IFERROR(INDEX(SAN_PHAM!$L$5:$L$26,MATCH($G53,SAN_PHAM!$A$5:$A$26,0))&amp;"?sub_id=ChiGiang-"&amp;SUBSTITUTE($A53,"-","")&amp;"-FBReels-SP"&amp;TEXT($G53,"00"),""))</f>
        <v/>
      </c>
      <c r="J53" s="8">
        <f>IF($G53="","",IFERROR(INDEX(SAN_PHAM!$N$5:$N$26,MATCH($G53,SAN_PHAM!$A$5:$A$26,0)),""))</f>
        <v/>
      </c>
      <c r="K53" s="7" t="n"/>
      <c r="L53" s="7" t="n"/>
      <c r="M53" s="26" t="inlineStr">
        <is>
          <t>Ý tưởng</t>
        </is>
      </c>
      <c r="N53" s="42" t="n"/>
      <c r="O53" s="26" t="n"/>
      <c r="P53" s="7" t="n"/>
      <c r="Q53" s="43" t="n"/>
      <c r="R53" s="43" t="n"/>
      <c r="S53" s="43" t="n"/>
      <c r="T53" s="7" t="n"/>
    </row>
    <row r="54">
      <c r="A54" s="26" t="inlineStr">
        <is>
          <t>T5-005</t>
        </is>
      </c>
      <c r="B54" s="26" t="inlineStr">
        <is>
          <t>T5</t>
        </is>
      </c>
      <c r="C54" s="7" t="inlineStr">
        <is>
          <t>Tình huống vợ chồng</t>
        </is>
      </c>
      <c r="D54" s="7" t="inlineStr">
        <is>
          <t>Quà Tết cho ba: đừng mua rượu</t>
        </is>
      </c>
      <c r="E54" s="7" t="inlineStr">
        <is>
          <t>Tết này mua gì cho ba ngoài rượu?</t>
        </is>
      </c>
      <c r="F54" s="7" t="inlineStr">
        <is>
          <t>Phòng khách ngày Tết</t>
        </is>
      </c>
      <c r="G54" s="26" t="n">
        <v>11</v>
      </c>
      <c r="H54" s="8">
        <f>IF($G54="","",IFERROR(INDEX(SAN_PHAM!$D$5:$D$26,MATCH($G54,SAN_PHAM!$A$5:$A$26,0)),"Sai mã SP"))</f>
        <v/>
      </c>
      <c r="I54" s="8">
        <f>IF(OR($G54="",$A54=""),"",IFERROR(INDEX(SAN_PHAM!$L$5:$L$26,MATCH($G54,SAN_PHAM!$A$5:$A$26,0))&amp;"?sub_id=ChiGiang-"&amp;SUBSTITUTE($A54,"-","")&amp;"-FBReels-SP"&amp;TEXT($G54,"00"),""))</f>
        <v/>
      </c>
      <c r="J54" s="8">
        <f>IF($G54="","",IFERROR(INDEX(SAN_PHAM!$N$5:$N$26,MATCH($G54,SAN_PHAM!$A$5:$A$26,0)),""))</f>
        <v/>
      </c>
      <c r="K54" s="7" t="n"/>
      <c r="L54" s="7" t="n"/>
      <c r="M54" s="26" t="inlineStr">
        <is>
          <t>Ý tưởng</t>
        </is>
      </c>
      <c r="N54" s="42" t="n"/>
      <c r="O54" s="26" t="n"/>
      <c r="P54" s="7" t="n"/>
      <c r="Q54" s="43" t="n"/>
      <c r="R54" s="43" t="n"/>
      <c r="S54" s="43" t="n"/>
      <c r="T54" s="7" t="n"/>
    </row>
    <row r="55">
      <c r="A55" s="26" t="inlineStr">
        <is>
          <t>T5-006</t>
        </is>
      </c>
      <c r="B55" s="26" t="inlineStr">
        <is>
          <t>T5</t>
        </is>
      </c>
      <c r="C55" s="7" t="inlineStr">
        <is>
          <t>Hỏi đáp</t>
        </is>
      </c>
      <c r="D55" s="7" t="inlineStr">
        <is>
          <t>Đàn ông 50 nên đi bộ bao nhiêu mỗi ngày?</t>
        </is>
      </c>
      <c r="E55" s="7" t="inlineStr">
        <is>
          <t>Mười ngàn bước hay ba ngàn bước?</t>
        </is>
      </c>
      <c r="F55" s="7" t="inlineStr">
        <is>
          <t>Công viên sáng sớm</t>
        </is>
      </c>
      <c r="G55" s="26" t="n"/>
      <c r="H55" s="8">
        <f>IF($G55="","",IFERROR(INDEX(SAN_PHAM!$D$5:$D$26,MATCH($G55,SAN_PHAM!$A$5:$A$26,0)),"Sai mã SP"))</f>
        <v/>
      </c>
      <c r="I55" s="8">
        <f>IF(OR($G55="",$A55=""),"",IFERROR(INDEX(SAN_PHAM!$L$5:$L$26,MATCH($G55,SAN_PHAM!$A$5:$A$26,0))&amp;"?sub_id=ChiGiang-"&amp;SUBSTITUTE($A55,"-","")&amp;"-FBReels-SP"&amp;TEXT($G55,"00"),""))</f>
        <v/>
      </c>
      <c r="J55" s="8">
        <f>IF($G55="","",IFERROR(INDEX(SAN_PHAM!$N$5:$N$26,MATCH($G55,SAN_PHAM!$A$5:$A$26,0)),""))</f>
        <v/>
      </c>
      <c r="K55" s="7" t="n"/>
      <c r="L55" s="7" t="n"/>
      <c r="M55" s="26" t="inlineStr">
        <is>
          <t>Ý tưởng</t>
        </is>
      </c>
      <c r="N55" s="42" t="n"/>
      <c r="O55" s="26" t="n"/>
      <c r="P55" s="7" t="n"/>
      <c r="Q55" s="43" t="n"/>
      <c r="R55" s="43" t="n"/>
      <c r="S55" s="43" t="n"/>
      <c r="T55" s="7" t="n"/>
    </row>
    <row r="56">
      <c r="A56" s="26" t="inlineStr">
        <is>
          <t>T5-007</t>
        </is>
      </c>
      <c r="B56" s="26" t="inlineStr">
        <is>
          <t>T5</t>
        </is>
      </c>
      <c r="C56" s="7" t="inlineStr">
        <is>
          <t>Từ bình luận</t>
        </is>
      </c>
      <c r="D56" s="7" t="inlineStr">
        <is>
          <t>Hỏi đáp từ bình luận tuần này (Chủ nhật)</t>
        </is>
      </c>
      <c r="E56" s="7" t="inlineStr">
        <is>
          <t>Tuần này mấy anh hỏi chị nhiều nhất câu này</t>
        </is>
      </c>
      <c r="F56" s="7" t="inlineStr">
        <is>
          <t>Quán cà phê, cầm điện thoại đọc bình luận</t>
        </is>
      </c>
      <c r="G56" s="26" t="n"/>
      <c r="H56" s="8">
        <f>IF($G56="","",IFERROR(INDEX(SAN_PHAM!$D$5:$D$26,MATCH($G56,SAN_PHAM!$A$5:$A$26,0)),"Sai mã SP"))</f>
        <v/>
      </c>
      <c r="I56" s="8">
        <f>IF(OR($G56="",$A56=""),"",IFERROR(INDEX(SAN_PHAM!$L$5:$L$26,MATCH($G56,SAN_PHAM!$A$5:$A$26,0))&amp;"?sub_id=ChiGiang-"&amp;SUBSTITUTE($A56,"-","")&amp;"-FBReels-SP"&amp;TEXT($G56,"00"),""))</f>
        <v/>
      </c>
      <c r="J56" s="8">
        <f>IF($G56="","",IFERROR(INDEX(SAN_PHAM!$N$5:$N$26,MATCH($G56,SAN_PHAM!$A$5:$A$26,0)),""))</f>
        <v/>
      </c>
      <c r="K56" s="7" t="n"/>
      <c r="L56" s="7" t="n"/>
      <c r="M56" s="26" t="inlineStr">
        <is>
          <t>Ý tưởng</t>
        </is>
      </c>
      <c r="N56" s="42" t="n"/>
      <c r="O56" s="26" t="n"/>
      <c r="P56" s="7" t="n"/>
      <c r="Q56" s="43" t="n"/>
      <c r="R56" s="43" t="n"/>
      <c r="S56" s="43" t="n"/>
      <c r="T56" s="7" t="n"/>
    </row>
    <row r="57">
      <c r="A57" s="26" t="n"/>
      <c r="B57" s="26" t="n"/>
      <c r="C57" s="7" t="n"/>
      <c r="D57" s="7" t="n"/>
      <c r="E57" s="7" t="n"/>
      <c r="F57" s="7" t="n"/>
      <c r="G57" s="26" t="n"/>
      <c r="H57" s="8">
        <f>IF($G57="","",IFERROR(INDEX(SAN_PHAM!$D$5:$D$26,MATCH($G57,SAN_PHAM!$A$5:$A$26,0)),"Sai mã SP"))</f>
        <v/>
      </c>
      <c r="I57" s="8">
        <f>IF(OR($G57="",$A57=""),"",IFERROR(INDEX(SAN_PHAM!$L$5:$L$26,MATCH($G57,SAN_PHAM!$A$5:$A$26,0))&amp;"?sub_id=ChiGiang-"&amp;SUBSTITUTE($A57,"-","")&amp;"-FBReels-SP"&amp;TEXT($G57,"00"),""))</f>
        <v/>
      </c>
      <c r="J57" s="8">
        <f>IF($G57="","",IFERROR(INDEX(SAN_PHAM!$N$5:$N$26,MATCH($G57,SAN_PHAM!$A$5:$A$26,0)),""))</f>
        <v/>
      </c>
      <c r="K57" s="7" t="n"/>
      <c r="L57" s="7" t="n"/>
      <c r="M57" s="26" t="n"/>
      <c r="N57" s="42" t="n"/>
      <c r="O57" s="26" t="n"/>
      <c r="P57" s="7" t="n"/>
      <c r="Q57" s="43" t="n"/>
      <c r="R57" s="43" t="n"/>
      <c r="S57" s="43" t="n"/>
      <c r="T57" s="7" t="n"/>
    </row>
    <row r="58">
      <c r="A58" s="26" t="n"/>
      <c r="B58" s="26" t="n"/>
      <c r="C58" s="7" t="n"/>
      <c r="D58" s="7" t="n"/>
      <c r="E58" s="7" t="n"/>
      <c r="F58" s="7" t="n"/>
      <c r="G58" s="26" t="n"/>
      <c r="H58" s="8">
        <f>IF($G58="","",IFERROR(INDEX(SAN_PHAM!$D$5:$D$26,MATCH($G58,SAN_PHAM!$A$5:$A$26,0)),"Sai mã SP"))</f>
        <v/>
      </c>
      <c r="I58" s="8">
        <f>IF(OR($G58="",$A58=""),"",IFERROR(INDEX(SAN_PHAM!$L$5:$L$26,MATCH($G58,SAN_PHAM!$A$5:$A$26,0))&amp;"?sub_id=ChiGiang-"&amp;SUBSTITUTE($A58,"-","")&amp;"-FBReels-SP"&amp;TEXT($G58,"00"),""))</f>
        <v/>
      </c>
      <c r="J58" s="8">
        <f>IF($G58="","",IFERROR(INDEX(SAN_PHAM!$N$5:$N$26,MATCH($G58,SAN_PHAM!$A$5:$A$26,0)),""))</f>
        <v/>
      </c>
      <c r="K58" s="7" t="n"/>
      <c r="L58" s="7" t="n"/>
      <c r="M58" s="26" t="n"/>
      <c r="N58" s="42" t="n"/>
      <c r="O58" s="26" t="n"/>
      <c r="P58" s="7" t="n"/>
      <c r="Q58" s="43" t="n"/>
      <c r="R58" s="43" t="n"/>
      <c r="S58" s="43" t="n"/>
      <c r="T58" s="7" t="n"/>
    </row>
    <row r="59">
      <c r="A59" s="26" t="n"/>
      <c r="B59" s="26" t="n"/>
      <c r="C59" s="7" t="n"/>
      <c r="D59" s="7" t="n"/>
      <c r="E59" s="7" t="n"/>
      <c r="F59" s="7" t="n"/>
      <c r="G59" s="26" t="n"/>
      <c r="H59" s="8">
        <f>IF($G59="","",IFERROR(INDEX(SAN_PHAM!$D$5:$D$26,MATCH($G59,SAN_PHAM!$A$5:$A$26,0)),"Sai mã SP"))</f>
        <v/>
      </c>
      <c r="I59" s="8">
        <f>IF(OR($G59="",$A59=""),"",IFERROR(INDEX(SAN_PHAM!$L$5:$L$26,MATCH($G59,SAN_PHAM!$A$5:$A$26,0))&amp;"?sub_id=ChiGiang-"&amp;SUBSTITUTE($A59,"-","")&amp;"-FBReels-SP"&amp;TEXT($G59,"00"),""))</f>
        <v/>
      </c>
      <c r="J59" s="8">
        <f>IF($G59="","",IFERROR(INDEX(SAN_PHAM!$N$5:$N$26,MATCH($G59,SAN_PHAM!$A$5:$A$26,0)),""))</f>
        <v/>
      </c>
      <c r="K59" s="7" t="n"/>
      <c r="L59" s="7" t="n"/>
      <c r="M59" s="26" t="n"/>
      <c r="N59" s="42" t="n"/>
      <c r="O59" s="26" t="n"/>
      <c r="P59" s="7" t="n"/>
      <c r="Q59" s="43" t="n"/>
      <c r="R59" s="43" t="n"/>
      <c r="S59" s="43" t="n"/>
      <c r="T59" s="7" t="n"/>
    </row>
    <row r="60">
      <c r="A60" s="26" t="n"/>
      <c r="B60" s="26" t="n"/>
      <c r="C60" s="7" t="n"/>
      <c r="D60" s="7" t="n"/>
      <c r="E60" s="7" t="n"/>
      <c r="F60" s="7" t="n"/>
      <c r="G60" s="26" t="n"/>
      <c r="H60" s="8">
        <f>IF($G60="","",IFERROR(INDEX(SAN_PHAM!$D$5:$D$26,MATCH($G60,SAN_PHAM!$A$5:$A$26,0)),"Sai mã SP"))</f>
        <v/>
      </c>
      <c r="I60" s="8">
        <f>IF(OR($G60="",$A60=""),"",IFERROR(INDEX(SAN_PHAM!$L$5:$L$26,MATCH($G60,SAN_PHAM!$A$5:$A$26,0))&amp;"?sub_id=ChiGiang-"&amp;SUBSTITUTE($A60,"-","")&amp;"-FBReels-SP"&amp;TEXT($G60,"00"),""))</f>
        <v/>
      </c>
      <c r="J60" s="8">
        <f>IF($G60="","",IFERROR(INDEX(SAN_PHAM!$N$5:$N$26,MATCH($G60,SAN_PHAM!$A$5:$A$26,0)),""))</f>
        <v/>
      </c>
      <c r="K60" s="7" t="n"/>
      <c r="L60" s="7" t="n"/>
      <c r="M60" s="26" t="n"/>
      <c r="N60" s="42" t="n"/>
      <c r="O60" s="26" t="n"/>
      <c r="P60" s="7" t="n"/>
      <c r="Q60" s="43" t="n"/>
      <c r="R60" s="43" t="n"/>
      <c r="S60" s="43" t="n"/>
      <c r="T60" s="7" t="n"/>
    </row>
    <row r="61">
      <c r="A61" s="26" t="n"/>
      <c r="B61" s="26" t="n"/>
      <c r="C61" s="7" t="n"/>
      <c r="D61" s="7" t="n"/>
      <c r="E61" s="7" t="n"/>
      <c r="F61" s="7" t="n"/>
      <c r="G61" s="26" t="n"/>
      <c r="H61" s="8">
        <f>IF($G61="","",IFERROR(INDEX(SAN_PHAM!$D$5:$D$26,MATCH($G61,SAN_PHAM!$A$5:$A$26,0)),"Sai mã SP"))</f>
        <v/>
      </c>
      <c r="I61" s="8">
        <f>IF(OR($G61="",$A61=""),"",IFERROR(INDEX(SAN_PHAM!$L$5:$L$26,MATCH($G61,SAN_PHAM!$A$5:$A$26,0))&amp;"?sub_id=ChiGiang-"&amp;SUBSTITUTE($A61,"-","")&amp;"-FBReels-SP"&amp;TEXT($G61,"00"),""))</f>
        <v/>
      </c>
      <c r="J61" s="8">
        <f>IF($G61="","",IFERROR(INDEX(SAN_PHAM!$N$5:$N$26,MATCH($G61,SAN_PHAM!$A$5:$A$26,0)),""))</f>
        <v/>
      </c>
      <c r="K61" s="7" t="n"/>
      <c r="L61" s="7" t="n"/>
      <c r="M61" s="26" t="n"/>
      <c r="N61" s="42" t="n"/>
      <c r="O61" s="26" t="n"/>
      <c r="P61" s="7" t="n"/>
      <c r="Q61" s="43" t="n"/>
      <c r="R61" s="43" t="n"/>
      <c r="S61" s="43" t="n"/>
      <c r="T61" s="7" t="n"/>
    </row>
    <row r="62">
      <c r="A62" s="26" t="n"/>
      <c r="B62" s="26" t="n"/>
      <c r="C62" s="7" t="n"/>
      <c r="D62" s="7" t="n"/>
      <c r="E62" s="7" t="n"/>
      <c r="F62" s="7" t="n"/>
      <c r="G62" s="26" t="n"/>
      <c r="H62" s="8">
        <f>IF($G62="","",IFERROR(INDEX(SAN_PHAM!$D$5:$D$26,MATCH($G62,SAN_PHAM!$A$5:$A$26,0)),"Sai mã SP"))</f>
        <v/>
      </c>
      <c r="I62" s="8">
        <f>IF(OR($G62="",$A62=""),"",IFERROR(INDEX(SAN_PHAM!$L$5:$L$26,MATCH($G62,SAN_PHAM!$A$5:$A$26,0))&amp;"?sub_id=ChiGiang-"&amp;SUBSTITUTE($A62,"-","")&amp;"-FBReels-SP"&amp;TEXT($G62,"00"),""))</f>
        <v/>
      </c>
      <c r="J62" s="8">
        <f>IF($G62="","",IFERROR(INDEX(SAN_PHAM!$N$5:$N$26,MATCH($G62,SAN_PHAM!$A$5:$A$26,0)),""))</f>
        <v/>
      </c>
      <c r="K62" s="7" t="n"/>
      <c r="L62" s="7" t="n"/>
      <c r="M62" s="26" t="n"/>
      <c r="N62" s="42" t="n"/>
      <c r="O62" s="26" t="n"/>
      <c r="P62" s="7" t="n"/>
      <c r="Q62" s="43" t="n"/>
      <c r="R62" s="43" t="n"/>
      <c r="S62" s="43" t="n"/>
      <c r="T62" s="7" t="n"/>
    </row>
    <row r="63">
      <c r="A63" s="26" t="n"/>
      <c r="B63" s="26" t="n"/>
      <c r="C63" s="7" t="n"/>
      <c r="D63" s="7" t="n"/>
      <c r="E63" s="7" t="n"/>
      <c r="F63" s="7" t="n"/>
      <c r="G63" s="26" t="n"/>
      <c r="H63" s="8">
        <f>IF($G63="","",IFERROR(INDEX(SAN_PHAM!$D$5:$D$26,MATCH($G63,SAN_PHAM!$A$5:$A$26,0)),"Sai mã SP"))</f>
        <v/>
      </c>
      <c r="I63" s="8">
        <f>IF(OR($G63="",$A63=""),"",IFERROR(INDEX(SAN_PHAM!$L$5:$L$26,MATCH($G63,SAN_PHAM!$A$5:$A$26,0))&amp;"?sub_id=ChiGiang-"&amp;SUBSTITUTE($A63,"-","")&amp;"-FBReels-SP"&amp;TEXT($G63,"00"),""))</f>
        <v/>
      </c>
      <c r="J63" s="8">
        <f>IF($G63="","",IFERROR(INDEX(SAN_PHAM!$N$5:$N$26,MATCH($G63,SAN_PHAM!$A$5:$A$26,0)),""))</f>
        <v/>
      </c>
      <c r="K63" s="7" t="n"/>
      <c r="L63" s="7" t="n"/>
      <c r="M63" s="26" t="n"/>
      <c r="N63" s="42" t="n"/>
      <c r="O63" s="26" t="n"/>
      <c r="P63" s="7" t="n"/>
      <c r="Q63" s="43" t="n"/>
      <c r="R63" s="43" t="n"/>
      <c r="S63" s="43" t="n"/>
      <c r="T63" s="7" t="n"/>
    </row>
    <row r="64">
      <c r="A64" s="26" t="n"/>
      <c r="B64" s="26" t="n"/>
      <c r="C64" s="7" t="n"/>
      <c r="D64" s="7" t="n"/>
      <c r="E64" s="7" t="n"/>
      <c r="F64" s="7" t="n"/>
      <c r="G64" s="26" t="n"/>
      <c r="H64" s="8">
        <f>IF($G64="","",IFERROR(INDEX(SAN_PHAM!$D$5:$D$26,MATCH($G64,SAN_PHAM!$A$5:$A$26,0)),"Sai mã SP"))</f>
        <v/>
      </c>
      <c r="I64" s="8">
        <f>IF(OR($G64="",$A64=""),"",IFERROR(INDEX(SAN_PHAM!$L$5:$L$26,MATCH($G64,SAN_PHAM!$A$5:$A$26,0))&amp;"?sub_id=ChiGiang-"&amp;SUBSTITUTE($A64,"-","")&amp;"-FBReels-SP"&amp;TEXT($G64,"00"),""))</f>
        <v/>
      </c>
      <c r="J64" s="8">
        <f>IF($G64="","",IFERROR(INDEX(SAN_PHAM!$N$5:$N$26,MATCH($G64,SAN_PHAM!$A$5:$A$26,0)),""))</f>
        <v/>
      </c>
      <c r="K64" s="7" t="n"/>
      <c r="L64" s="7" t="n"/>
      <c r="M64" s="26" t="n"/>
      <c r="N64" s="42" t="n"/>
      <c r="O64" s="26" t="n"/>
      <c r="P64" s="7" t="n"/>
      <c r="Q64" s="43" t="n"/>
      <c r="R64" s="43" t="n"/>
      <c r="S64" s="43" t="n"/>
      <c r="T64" s="7" t="n"/>
    </row>
    <row r="65">
      <c r="A65" s="26" t="n"/>
      <c r="B65" s="26" t="n"/>
      <c r="C65" s="7" t="n"/>
      <c r="D65" s="7" t="n"/>
      <c r="E65" s="7" t="n"/>
      <c r="F65" s="7" t="n"/>
      <c r="G65" s="26" t="n"/>
      <c r="H65" s="8">
        <f>IF($G65="","",IFERROR(INDEX(SAN_PHAM!$D$5:$D$26,MATCH($G65,SAN_PHAM!$A$5:$A$26,0)),"Sai mã SP"))</f>
        <v/>
      </c>
      <c r="I65" s="8">
        <f>IF(OR($G65="",$A65=""),"",IFERROR(INDEX(SAN_PHAM!$L$5:$L$26,MATCH($G65,SAN_PHAM!$A$5:$A$26,0))&amp;"?sub_id=ChiGiang-"&amp;SUBSTITUTE($A65,"-","")&amp;"-FBReels-SP"&amp;TEXT($G65,"00"),""))</f>
        <v/>
      </c>
      <c r="J65" s="8">
        <f>IF($G65="","",IFERROR(INDEX(SAN_PHAM!$N$5:$N$26,MATCH($G65,SAN_PHAM!$A$5:$A$26,0)),""))</f>
        <v/>
      </c>
      <c r="K65" s="7" t="n"/>
      <c r="L65" s="7" t="n"/>
      <c r="M65" s="26" t="n"/>
      <c r="N65" s="42" t="n"/>
      <c r="O65" s="26" t="n"/>
      <c r="P65" s="7" t="n"/>
      <c r="Q65" s="43" t="n"/>
      <c r="R65" s="43" t="n"/>
      <c r="S65" s="43" t="n"/>
      <c r="T65" s="7" t="n"/>
    </row>
    <row r="66">
      <c r="A66" s="26" t="n"/>
      <c r="B66" s="26" t="n"/>
      <c r="C66" s="7" t="n"/>
      <c r="D66" s="7" t="n"/>
      <c r="E66" s="7" t="n"/>
      <c r="F66" s="7" t="n"/>
      <c r="G66" s="26" t="n"/>
      <c r="H66" s="8">
        <f>IF($G66="","",IFERROR(INDEX(SAN_PHAM!$D$5:$D$26,MATCH($G66,SAN_PHAM!$A$5:$A$26,0)),"Sai mã SP"))</f>
        <v/>
      </c>
      <c r="I66" s="8">
        <f>IF(OR($G66="",$A66=""),"",IFERROR(INDEX(SAN_PHAM!$L$5:$L$26,MATCH($G66,SAN_PHAM!$A$5:$A$26,0))&amp;"?sub_id=ChiGiang-"&amp;SUBSTITUTE($A66,"-","")&amp;"-FBReels-SP"&amp;TEXT($G66,"00"),""))</f>
        <v/>
      </c>
      <c r="J66" s="8">
        <f>IF($G66="","",IFERROR(INDEX(SAN_PHAM!$N$5:$N$26,MATCH($G66,SAN_PHAM!$A$5:$A$26,0)),""))</f>
        <v/>
      </c>
      <c r="K66" s="7" t="n"/>
      <c r="L66" s="7" t="n"/>
      <c r="M66" s="26" t="n"/>
      <c r="N66" s="42" t="n"/>
      <c r="O66" s="26" t="n"/>
      <c r="P66" s="7" t="n"/>
      <c r="Q66" s="43" t="n"/>
      <c r="R66" s="43" t="n"/>
      <c r="S66" s="43" t="n"/>
      <c r="T66" s="7" t="n"/>
    </row>
    <row r="67">
      <c r="A67" s="26" t="n"/>
      <c r="B67" s="26" t="n"/>
      <c r="C67" s="7" t="n"/>
      <c r="D67" s="7" t="n"/>
      <c r="E67" s="7" t="n"/>
      <c r="F67" s="7" t="n"/>
      <c r="G67" s="26" t="n"/>
      <c r="H67" s="8">
        <f>IF($G67="","",IFERROR(INDEX(SAN_PHAM!$D$5:$D$26,MATCH($G67,SAN_PHAM!$A$5:$A$26,0)),"Sai mã SP"))</f>
        <v/>
      </c>
      <c r="I67" s="8">
        <f>IF(OR($G67="",$A67=""),"",IFERROR(INDEX(SAN_PHAM!$L$5:$L$26,MATCH($G67,SAN_PHAM!$A$5:$A$26,0))&amp;"?sub_id=ChiGiang-"&amp;SUBSTITUTE($A67,"-","")&amp;"-FBReels-SP"&amp;TEXT($G67,"00"),""))</f>
        <v/>
      </c>
      <c r="J67" s="8">
        <f>IF($G67="","",IFERROR(INDEX(SAN_PHAM!$N$5:$N$26,MATCH($G67,SAN_PHAM!$A$5:$A$26,0)),""))</f>
        <v/>
      </c>
      <c r="K67" s="7" t="n"/>
      <c r="L67" s="7" t="n"/>
      <c r="M67" s="26" t="n"/>
      <c r="N67" s="42" t="n"/>
      <c r="O67" s="26" t="n"/>
      <c r="P67" s="7" t="n"/>
      <c r="Q67" s="43" t="n"/>
      <c r="R67" s="43" t="n"/>
      <c r="S67" s="43" t="n"/>
      <c r="T67" s="7" t="n"/>
    </row>
    <row r="68">
      <c r="A68" s="26" t="n"/>
      <c r="B68" s="26" t="n"/>
      <c r="C68" s="7" t="n"/>
      <c r="D68" s="7" t="n"/>
      <c r="E68" s="7" t="n"/>
      <c r="F68" s="7" t="n"/>
      <c r="G68" s="26" t="n"/>
      <c r="H68" s="8">
        <f>IF($G68="","",IFERROR(INDEX(SAN_PHAM!$D$5:$D$26,MATCH($G68,SAN_PHAM!$A$5:$A$26,0)),"Sai mã SP"))</f>
        <v/>
      </c>
      <c r="I68" s="8">
        <f>IF(OR($G68="",$A68=""),"",IFERROR(INDEX(SAN_PHAM!$L$5:$L$26,MATCH($G68,SAN_PHAM!$A$5:$A$26,0))&amp;"?sub_id=ChiGiang-"&amp;SUBSTITUTE($A68,"-","")&amp;"-FBReels-SP"&amp;TEXT($G68,"00"),""))</f>
        <v/>
      </c>
      <c r="J68" s="8">
        <f>IF($G68="","",IFERROR(INDEX(SAN_PHAM!$N$5:$N$26,MATCH($G68,SAN_PHAM!$A$5:$A$26,0)),""))</f>
        <v/>
      </c>
      <c r="K68" s="7" t="n"/>
      <c r="L68" s="7" t="n"/>
      <c r="M68" s="26" t="n"/>
      <c r="N68" s="42" t="n"/>
      <c r="O68" s="26" t="n"/>
      <c r="P68" s="7" t="n"/>
      <c r="Q68" s="43" t="n"/>
      <c r="R68" s="43" t="n"/>
      <c r="S68" s="43" t="n"/>
      <c r="T68" s="7" t="n"/>
    </row>
    <row r="69">
      <c r="A69" s="26" t="n"/>
      <c r="B69" s="26" t="n"/>
      <c r="C69" s="7" t="n"/>
      <c r="D69" s="7" t="n"/>
      <c r="E69" s="7" t="n"/>
      <c r="F69" s="7" t="n"/>
      <c r="G69" s="26" t="n"/>
      <c r="H69" s="8">
        <f>IF($G69="","",IFERROR(INDEX(SAN_PHAM!$D$5:$D$26,MATCH($G69,SAN_PHAM!$A$5:$A$26,0)),"Sai mã SP"))</f>
        <v/>
      </c>
      <c r="I69" s="8">
        <f>IF(OR($G69="",$A69=""),"",IFERROR(INDEX(SAN_PHAM!$L$5:$L$26,MATCH($G69,SAN_PHAM!$A$5:$A$26,0))&amp;"?sub_id=ChiGiang-"&amp;SUBSTITUTE($A69,"-","")&amp;"-FBReels-SP"&amp;TEXT($G69,"00"),""))</f>
        <v/>
      </c>
      <c r="J69" s="8">
        <f>IF($G69="","",IFERROR(INDEX(SAN_PHAM!$N$5:$N$26,MATCH($G69,SAN_PHAM!$A$5:$A$26,0)),""))</f>
        <v/>
      </c>
      <c r="K69" s="7" t="n"/>
      <c r="L69" s="7" t="n"/>
      <c r="M69" s="26" t="n"/>
      <c r="N69" s="42" t="n"/>
      <c r="O69" s="26" t="n"/>
      <c r="P69" s="7" t="n"/>
      <c r="Q69" s="43" t="n"/>
      <c r="R69" s="43" t="n"/>
      <c r="S69" s="43" t="n"/>
      <c r="T69" s="7" t="n"/>
    </row>
    <row r="70">
      <c r="A70" s="26" t="n"/>
      <c r="B70" s="26" t="n"/>
      <c r="C70" s="7" t="n"/>
      <c r="D70" s="7" t="n"/>
      <c r="E70" s="7" t="n"/>
      <c r="F70" s="7" t="n"/>
      <c r="G70" s="26" t="n"/>
      <c r="H70" s="8">
        <f>IF($G70="","",IFERROR(INDEX(SAN_PHAM!$D$5:$D$26,MATCH($G70,SAN_PHAM!$A$5:$A$26,0)),"Sai mã SP"))</f>
        <v/>
      </c>
      <c r="I70" s="8">
        <f>IF(OR($G70="",$A70=""),"",IFERROR(INDEX(SAN_PHAM!$L$5:$L$26,MATCH($G70,SAN_PHAM!$A$5:$A$26,0))&amp;"?sub_id=ChiGiang-"&amp;SUBSTITUTE($A70,"-","")&amp;"-FBReels-SP"&amp;TEXT($G70,"00"),""))</f>
        <v/>
      </c>
      <c r="J70" s="8">
        <f>IF($G70="","",IFERROR(INDEX(SAN_PHAM!$N$5:$N$26,MATCH($G70,SAN_PHAM!$A$5:$A$26,0)),""))</f>
        <v/>
      </c>
      <c r="K70" s="7" t="n"/>
      <c r="L70" s="7" t="n"/>
      <c r="M70" s="26" t="n"/>
      <c r="N70" s="42" t="n"/>
      <c r="O70" s="26" t="n"/>
      <c r="P70" s="7" t="n"/>
      <c r="Q70" s="43" t="n"/>
      <c r="R70" s="43" t="n"/>
      <c r="S70" s="43" t="n"/>
      <c r="T70" s="7" t="n"/>
    </row>
    <row r="71">
      <c r="A71" s="26" t="n"/>
      <c r="B71" s="26" t="n"/>
      <c r="C71" s="7" t="n"/>
      <c r="D71" s="7" t="n"/>
      <c r="E71" s="7" t="n"/>
      <c r="F71" s="7" t="n"/>
      <c r="G71" s="26" t="n"/>
      <c r="H71" s="8">
        <f>IF($G71="","",IFERROR(INDEX(SAN_PHAM!$D$5:$D$26,MATCH($G71,SAN_PHAM!$A$5:$A$26,0)),"Sai mã SP"))</f>
        <v/>
      </c>
      <c r="I71" s="8">
        <f>IF(OR($G71="",$A71=""),"",IFERROR(INDEX(SAN_PHAM!$L$5:$L$26,MATCH($G71,SAN_PHAM!$A$5:$A$26,0))&amp;"?sub_id=ChiGiang-"&amp;SUBSTITUTE($A71,"-","")&amp;"-FBReels-SP"&amp;TEXT($G71,"00"),""))</f>
        <v/>
      </c>
      <c r="J71" s="8">
        <f>IF($G71="","",IFERROR(INDEX(SAN_PHAM!$N$5:$N$26,MATCH($G71,SAN_PHAM!$A$5:$A$26,0)),""))</f>
        <v/>
      </c>
      <c r="K71" s="7" t="n"/>
      <c r="L71" s="7" t="n"/>
      <c r="M71" s="26" t="n"/>
      <c r="N71" s="42" t="n"/>
      <c r="O71" s="26" t="n"/>
      <c r="P71" s="7" t="n"/>
      <c r="Q71" s="43" t="n"/>
      <c r="R71" s="43" t="n"/>
      <c r="S71" s="43" t="n"/>
      <c r="T71" s="7" t="n"/>
    </row>
    <row r="72">
      <c r="A72" s="26" t="n"/>
      <c r="B72" s="26" t="n"/>
      <c r="C72" s="7" t="n"/>
      <c r="D72" s="7" t="n"/>
      <c r="E72" s="7" t="n"/>
      <c r="F72" s="7" t="n"/>
      <c r="G72" s="26" t="n"/>
      <c r="H72" s="8">
        <f>IF($G72="","",IFERROR(INDEX(SAN_PHAM!$D$5:$D$26,MATCH($G72,SAN_PHAM!$A$5:$A$26,0)),"Sai mã SP"))</f>
        <v/>
      </c>
      <c r="I72" s="8">
        <f>IF(OR($G72="",$A72=""),"",IFERROR(INDEX(SAN_PHAM!$L$5:$L$26,MATCH($G72,SAN_PHAM!$A$5:$A$26,0))&amp;"?sub_id=ChiGiang-"&amp;SUBSTITUTE($A72,"-","")&amp;"-FBReels-SP"&amp;TEXT($G72,"00"),""))</f>
        <v/>
      </c>
      <c r="J72" s="8">
        <f>IF($G72="","",IFERROR(INDEX(SAN_PHAM!$N$5:$N$26,MATCH($G72,SAN_PHAM!$A$5:$A$26,0)),""))</f>
        <v/>
      </c>
      <c r="K72" s="7" t="n"/>
      <c r="L72" s="7" t="n"/>
      <c r="M72" s="26" t="n"/>
      <c r="N72" s="42" t="n"/>
      <c r="O72" s="26" t="n"/>
      <c r="P72" s="7" t="n"/>
      <c r="Q72" s="43" t="n"/>
      <c r="R72" s="43" t="n"/>
      <c r="S72" s="43" t="n"/>
      <c r="T72" s="7" t="n"/>
    </row>
    <row r="73">
      <c r="A73" s="26" t="n"/>
      <c r="B73" s="26" t="n"/>
      <c r="C73" s="7" t="n"/>
      <c r="D73" s="7" t="n"/>
      <c r="E73" s="7" t="n"/>
      <c r="F73" s="7" t="n"/>
      <c r="G73" s="26" t="n"/>
      <c r="H73" s="8">
        <f>IF($G73="","",IFERROR(INDEX(SAN_PHAM!$D$5:$D$26,MATCH($G73,SAN_PHAM!$A$5:$A$26,0)),"Sai mã SP"))</f>
        <v/>
      </c>
      <c r="I73" s="8">
        <f>IF(OR($G73="",$A73=""),"",IFERROR(INDEX(SAN_PHAM!$L$5:$L$26,MATCH($G73,SAN_PHAM!$A$5:$A$26,0))&amp;"?sub_id=ChiGiang-"&amp;SUBSTITUTE($A73,"-","")&amp;"-FBReels-SP"&amp;TEXT($G73,"00"),""))</f>
        <v/>
      </c>
      <c r="J73" s="8">
        <f>IF($G73="","",IFERROR(INDEX(SAN_PHAM!$N$5:$N$26,MATCH($G73,SAN_PHAM!$A$5:$A$26,0)),""))</f>
        <v/>
      </c>
      <c r="K73" s="7" t="n"/>
      <c r="L73" s="7" t="n"/>
      <c r="M73" s="26" t="n"/>
      <c r="N73" s="42" t="n"/>
      <c r="O73" s="26" t="n"/>
      <c r="P73" s="7" t="n"/>
      <c r="Q73" s="43" t="n"/>
      <c r="R73" s="43" t="n"/>
      <c r="S73" s="43" t="n"/>
      <c r="T73" s="7" t="n"/>
    </row>
    <row r="74">
      <c r="A74" s="26" t="n"/>
      <c r="B74" s="26" t="n"/>
      <c r="C74" s="7" t="n"/>
      <c r="D74" s="7" t="n"/>
      <c r="E74" s="7" t="n"/>
      <c r="F74" s="7" t="n"/>
      <c r="G74" s="26" t="n"/>
      <c r="H74" s="8">
        <f>IF($G74="","",IFERROR(INDEX(SAN_PHAM!$D$5:$D$26,MATCH($G74,SAN_PHAM!$A$5:$A$26,0)),"Sai mã SP"))</f>
        <v/>
      </c>
      <c r="I74" s="8">
        <f>IF(OR($G74="",$A74=""),"",IFERROR(INDEX(SAN_PHAM!$L$5:$L$26,MATCH($G74,SAN_PHAM!$A$5:$A$26,0))&amp;"?sub_id=ChiGiang-"&amp;SUBSTITUTE($A74,"-","")&amp;"-FBReels-SP"&amp;TEXT($G74,"00"),""))</f>
        <v/>
      </c>
      <c r="J74" s="8">
        <f>IF($G74="","",IFERROR(INDEX(SAN_PHAM!$N$5:$N$26,MATCH($G74,SAN_PHAM!$A$5:$A$26,0)),""))</f>
        <v/>
      </c>
      <c r="K74" s="7" t="n"/>
      <c r="L74" s="7" t="n"/>
      <c r="M74" s="26" t="n"/>
      <c r="N74" s="42" t="n"/>
      <c r="O74" s="26" t="n"/>
      <c r="P74" s="7" t="n"/>
      <c r="Q74" s="43" t="n"/>
      <c r="R74" s="43" t="n"/>
      <c r="S74" s="43" t="n"/>
      <c r="T74" s="7" t="n"/>
    </row>
    <row r="75">
      <c r="A75" s="26" t="n"/>
      <c r="B75" s="26" t="n"/>
      <c r="C75" s="7" t="n"/>
      <c r="D75" s="7" t="n"/>
      <c r="E75" s="7" t="n"/>
      <c r="F75" s="7" t="n"/>
      <c r="G75" s="26" t="n"/>
      <c r="H75" s="8">
        <f>IF($G75="","",IFERROR(INDEX(SAN_PHAM!$D$5:$D$26,MATCH($G75,SAN_PHAM!$A$5:$A$26,0)),"Sai mã SP"))</f>
        <v/>
      </c>
      <c r="I75" s="8">
        <f>IF(OR($G75="",$A75=""),"",IFERROR(INDEX(SAN_PHAM!$L$5:$L$26,MATCH($G75,SAN_PHAM!$A$5:$A$26,0))&amp;"?sub_id=ChiGiang-"&amp;SUBSTITUTE($A75,"-","")&amp;"-FBReels-SP"&amp;TEXT($G75,"00"),""))</f>
        <v/>
      </c>
      <c r="J75" s="8">
        <f>IF($G75="","",IFERROR(INDEX(SAN_PHAM!$N$5:$N$26,MATCH($G75,SAN_PHAM!$A$5:$A$26,0)),""))</f>
        <v/>
      </c>
      <c r="K75" s="7" t="n"/>
      <c r="L75" s="7" t="n"/>
      <c r="M75" s="26" t="n"/>
      <c r="N75" s="42" t="n"/>
      <c r="O75" s="26" t="n"/>
      <c r="P75" s="7" t="n"/>
      <c r="Q75" s="43" t="n"/>
      <c r="R75" s="43" t="n"/>
      <c r="S75" s="43" t="n"/>
      <c r="T75" s="7" t="n"/>
    </row>
    <row r="76">
      <c r="A76" s="26" t="n"/>
      <c r="B76" s="26" t="n"/>
      <c r="C76" s="7" t="n"/>
      <c r="D76" s="7" t="n"/>
      <c r="E76" s="7" t="n"/>
      <c r="F76" s="7" t="n"/>
      <c r="G76" s="26" t="n"/>
      <c r="H76" s="8">
        <f>IF($G76="","",IFERROR(INDEX(SAN_PHAM!$D$5:$D$26,MATCH($G76,SAN_PHAM!$A$5:$A$26,0)),"Sai mã SP"))</f>
        <v/>
      </c>
      <c r="I76" s="8">
        <f>IF(OR($G76="",$A76=""),"",IFERROR(INDEX(SAN_PHAM!$L$5:$L$26,MATCH($G76,SAN_PHAM!$A$5:$A$26,0))&amp;"?sub_id=ChiGiang-"&amp;SUBSTITUTE($A76,"-","")&amp;"-FBReels-SP"&amp;TEXT($G76,"00"),""))</f>
        <v/>
      </c>
      <c r="J76" s="8">
        <f>IF($G76="","",IFERROR(INDEX(SAN_PHAM!$N$5:$N$26,MATCH($G76,SAN_PHAM!$A$5:$A$26,0)),""))</f>
        <v/>
      </c>
      <c r="K76" s="7" t="n"/>
      <c r="L76" s="7" t="n"/>
      <c r="M76" s="26" t="n"/>
      <c r="N76" s="42" t="n"/>
      <c r="O76" s="26" t="n"/>
      <c r="P76" s="7" t="n"/>
      <c r="Q76" s="43" t="n"/>
      <c r="R76" s="43" t="n"/>
      <c r="S76" s="43" t="n"/>
      <c r="T76" s="7" t="n"/>
    </row>
    <row r="77">
      <c r="A77" s="26" t="n"/>
      <c r="B77" s="26" t="n"/>
      <c r="C77" s="7" t="n"/>
      <c r="D77" s="7" t="n"/>
      <c r="E77" s="7" t="n"/>
      <c r="F77" s="7" t="n"/>
      <c r="G77" s="26" t="n"/>
      <c r="H77" s="8">
        <f>IF($G77="","",IFERROR(INDEX(SAN_PHAM!$D$5:$D$26,MATCH($G77,SAN_PHAM!$A$5:$A$26,0)),"Sai mã SP"))</f>
        <v/>
      </c>
      <c r="I77" s="8">
        <f>IF(OR($G77="",$A77=""),"",IFERROR(INDEX(SAN_PHAM!$L$5:$L$26,MATCH($G77,SAN_PHAM!$A$5:$A$26,0))&amp;"?sub_id=ChiGiang-"&amp;SUBSTITUTE($A77,"-","")&amp;"-FBReels-SP"&amp;TEXT($G77,"00"),""))</f>
        <v/>
      </c>
      <c r="J77" s="8">
        <f>IF($G77="","",IFERROR(INDEX(SAN_PHAM!$N$5:$N$26,MATCH($G77,SAN_PHAM!$A$5:$A$26,0)),""))</f>
        <v/>
      </c>
      <c r="K77" s="7" t="n"/>
      <c r="L77" s="7" t="n"/>
      <c r="M77" s="26" t="n"/>
      <c r="N77" s="42" t="n"/>
      <c r="O77" s="26" t="n"/>
      <c r="P77" s="7" t="n"/>
      <c r="Q77" s="43" t="n"/>
      <c r="R77" s="43" t="n"/>
      <c r="S77" s="43" t="n"/>
      <c r="T77" s="7" t="n"/>
    </row>
    <row r="78">
      <c r="A78" s="26" t="n"/>
      <c r="B78" s="26" t="n"/>
      <c r="C78" s="7" t="n"/>
      <c r="D78" s="7" t="n"/>
      <c r="E78" s="7" t="n"/>
      <c r="F78" s="7" t="n"/>
      <c r="G78" s="26" t="n"/>
      <c r="H78" s="8">
        <f>IF($G78="","",IFERROR(INDEX(SAN_PHAM!$D$5:$D$26,MATCH($G78,SAN_PHAM!$A$5:$A$26,0)),"Sai mã SP"))</f>
        <v/>
      </c>
      <c r="I78" s="8">
        <f>IF(OR($G78="",$A78=""),"",IFERROR(INDEX(SAN_PHAM!$L$5:$L$26,MATCH($G78,SAN_PHAM!$A$5:$A$26,0))&amp;"?sub_id=ChiGiang-"&amp;SUBSTITUTE($A78,"-","")&amp;"-FBReels-SP"&amp;TEXT($G78,"00"),""))</f>
        <v/>
      </c>
      <c r="J78" s="8">
        <f>IF($G78="","",IFERROR(INDEX(SAN_PHAM!$N$5:$N$26,MATCH($G78,SAN_PHAM!$A$5:$A$26,0)),""))</f>
        <v/>
      </c>
      <c r="K78" s="7" t="n"/>
      <c r="L78" s="7" t="n"/>
      <c r="M78" s="26" t="n"/>
      <c r="N78" s="42" t="n"/>
      <c r="O78" s="26" t="n"/>
      <c r="P78" s="7" t="n"/>
      <c r="Q78" s="43" t="n"/>
      <c r="R78" s="43" t="n"/>
      <c r="S78" s="43" t="n"/>
      <c r="T78" s="7" t="n"/>
    </row>
    <row r="79">
      <c r="A79" s="26" t="n"/>
      <c r="B79" s="26" t="n"/>
      <c r="C79" s="7" t="n"/>
      <c r="D79" s="7" t="n"/>
      <c r="E79" s="7" t="n"/>
      <c r="F79" s="7" t="n"/>
      <c r="G79" s="26" t="n"/>
      <c r="H79" s="8">
        <f>IF($G79="","",IFERROR(INDEX(SAN_PHAM!$D$5:$D$26,MATCH($G79,SAN_PHAM!$A$5:$A$26,0)),"Sai mã SP"))</f>
        <v/>
      </c>
      <c r="I79" s="8">
        <f>IF(OR($G79="",$A79=""),"",IFERROR(INDEX(SAN_PHAM!$L$5:$L$26,MATCH($G79,SAN_PHAM!$A$5:$A$26,0))&amp;"?sub_id=ChiGiang-"&amp;SUBSTITUTE($A79,"-","")&amp;"-FBReels-SP"&amp;TEXT($G79,"00"),""))</f>
        <v/>
      </c>
      <c r="J79" s="8">
        <f>IF($G79="","",IFERROR(INDEX(SAN_PHAM!$N$5:$N$26,MATCH($G79,SAN_PHAM!$A$5:$A$26,0)),""))</f>
        <v/>
      </c>
      <c r="K79" s="7" t="n"/>
      <c r="L79" s="7" t="n"/>
      <c r="M79" s="26" t="n"/>
      <c r="N79" s="42" t="n"/>
      <c r="O79" s="26" t="n"/>
      <c r="P79" s="7" t="n"/>
      <c r="Q79" s="43" t="n"/>
      <c r="R79" s="43" t="n"/>
      <c r="S79" s="43" t="n"/>
      <c r="T79" s="7" t="n"/>
    </row>
    <row r="80">
      <c r="A80" s="26" t="n"/>
      <c r="B80" s="26" t="n"/>
      <c r="C80" s="7" t="n"/>
      <c r="D80" s="7" t="n"/>
      <c r="E80" s="7" t="n"/>
      <c r="F80" s="7" t="n"/>
      <c r="G80" s="26" t="n"/>
      <c r="H80" s="8">
        <f>IF($G80="","",IFERROR(INDEX(SAN_PHAM!$D$5:$D$26,MATCH($G80,SAN_PHAM!$A$5:$A$26,0)),"Sai mã SP"))</f>
        <v/>
      </c>
      <c r="I80" s="8">
        <f>IF(OR($G80="",$A80=""),"",IFERROR(INDEX(SAN_PHAM!$L$5:$L$26,MATCH($G80,SAN_PHAM!$A$5:$A$26,0))&amp;"?sub_id=ChiGiang-"&amp;SUBSTITUTE($A80,"-","")&amp;"-FBReels-SP"&amp;TEXT($G80,"00"),""))</f>
        <v/>
      </c>
      <c r="J80" s="8">
        <f>IF($G80="","",IFERROR(INDEX(SAN_PHAM!$N$5:$N$26,MATCH($G80,SAN_PHAM!$A$5:$A$26,0)),""))</f>
        <v/>
      </c>
      <c r="K80" s="7" t="n"/>
      <c r="L80" s="7" t="n"/>
      <c r="M80" s="26" t="n"/>
      <c r="N80" s="42" t="n"/>
      <c r="O80" s="26" t="n"/>
      <c r="P80" s="7" t="n"/>
      <c r="Q80" s="43" t="n"/>
      <c r="R80" s="43" t="n"/>
      <c r="S80" s="43" t="n"/>
      <c r="T80" s="7" t="n"/>
    </row>
    <row r="81">
      <c r="A81" s="26" t="n"/>
      <c r="B81" s="26" t="n"/>
      <c r="C81" s="7" t="n"/>
      <c r="D81" s="7" t="n"/>
      <c r="E81" s="7" t="n"/>
      <c r="F81" s="7" t="n"/>
      <c r="G81" s="26" t="n"/>
      <c r="H81" s="8">
        <f>IF($G81="","",IFERROR(INDEX(SAN_PHAM!$D$5:$D$26,MATCH($G81,SAN_PHAM!$A$5:$A$26,0)),"Sai mã SP"))</f>
        <v/>
      </c>
      <c r="I81" s="8">
        <f>IF(OR($G81="",$A81=""),"",IFERROR(INDEX(SAN_PHAM!$L$5:$L$26,MATCH($G81,SAN_PHAM!$A$5:$A$26,0))&amp;"?sub_id=ChiGiang-"&amp;SUBSTITUTE($A81,"-","")&amp;"-FBReels-SP"&amp;TEXT($G81,"00"),""))</f>
        <v/>
      </c>
      <c r="J81" s="8">
        <f>IF($G81="","",IFERROR(INDEX(SAN_PHAM!$N$5:$N$26,MATCH($G81,SAN_PHAM!$A$5:$A$26,0)),""))</f>
        <v/>
      </c>
      <c r="K81" s="7" t="n"/>
      <c r="L81" s="7" t="n"/>
      <c r="M81" s="26" t="n"/>
      <c r="N81" s="42" t="n"/>
      <c r="O81" s="26" t="n"/>
      <c r="P81" s="7" t="n"/>
      <c r="Q81" s="43" t="n"/>
      <c r="R81" s="43" t="n"/>
      <c r="S81" s="43" t="n"/>
      <c r="T81" s="7" t="n"/>
    </row>
    <row r="82">
      <c r="A82" s="26" t="n"/>
      <c r="B82" s="26" t="n"/>
      <c r="C82" s="7" t="n"/>
      <c r="D82" s="7" t="n"/>
      <c r="E82" s="7" t="n"/>
      <c r="F82" s="7" t="n"/>
      <c r="G82" s="26" t="n"/>
      <c r="H82" s="8">
        <f>IF($G82="","",IFERROR(INDEX(SAN_PHAM!$D$5:$D$26,MATCH($G82,SAN_PHAM!$A$5:$A$26,0)),"Sai mã SP"))</f>
        <v/>
      </c>
      <c r="I82" s="8">
        <f>IF(OR($G82="",$A82=""),"",IFERROR(INDEX(SAN_PHAM!$L$5:$L$26,MATCH($G82,SAN_PHAM!$A$5:$A$26,0))&amp;"?sub_id=ChiGiang-"&amp;SUBSTITUTE($A82,"-","")&amp;"-FBReels-SP"&amp;TEXT($G82,"00"),""))</f>
        <v/>
      </c>
      <c r="J82" s="8">
        <f>IF($G82="","",IFERROR(INDEX(SAN_PHAM!$N$5:$N$26,MATCH($G82,SAN_PHAM!$A$5:$A$26,0)),""))</f>
        <v/>
      </c>
      <c r="K82" s="7" t="n"/>
      <c r="L82" s="7" t="n"/>
      <c r="M82" s="26" t="n"/>
      <c r="N82" s="42" t="n"/>
      <c r="O82" s="26" t="n"/>
      <c r="P82" s="7" t="n"/>
      <c r="Q82" s="43" t="n"/>
      <c r="R82" s="43" t="n"/>
      <c r="S82" s="43" t="n"/>
      <c r="T82" s="7" t="n"/>
    </row>
    <row r="83">
      <c r="A83" s="26" t="n"/>
      <c r="B83" s="26" t="n"/>
      <c r="C83" s="7" t="n"/>
      <c r="D83" s="7" t="n"/>
      <c r="E83" s="7" t="n"/>
      <c r="F83" s="7" t="n"/>
      <c r="G83" s="26" t="n"/>
      <c r="H83" s="8">
        <f>IF($G83="","",IFERROR(INDEX(SAN_PHAM!$D$5:$D$26,MATCH($G83,SAN_PHAM!$A$5:$A$26,0)),"Sai mã SP"))</f>
        <v/>
      </c>
      <c r="I83" s="8">
        <f>IF(OR($G83="",$A83=""),"",IFERROR(INDEX(SAN_PHAM!$L$5:$L$26,MATCH($G83,SAN_PHAM!$A$5:$A$26,0))&amp;"?sub_id=ChiGiang-"&amp;SUBSTITUTE($A83,"-","")&amp;"-FBReels-SP"&amp;TEXT($G83,"00"),""))</f>
        <v/>
      </c>
      <c r="J83" s="8">
        <f>IF($G83="","",IFERROR(INDEX(SAN_PHAM!$N$5:$N$26,MATCH($G83,SAN_PHAM!$A$5:$A$26,0)),""))</f>
        <v/>
      </c>
      <c r="K83" s="7" t="n"/>
      <c r="L83" s="7" t="n"/>
      <c r="M83" s="26" t="n"/>
      <c r="N83" s="42" t="n"/>
      <c r="O83" s="26" t="n"/>
      <c r="P83" s="7" t="n"/>
      <c r="Q83" s="43" t="n"/>
      <c r="R83" s="43" t="n"/>
      <c r="S83" s="43" t="n"/>
      <c r="T83" s="7" t="n"/>
    </row>
    <row r="84">
      <c r="A84" s="26" t="n"/>
      <c r="B84" s="26" t="n"/>
      <c r="C84" s="7" t="n"/>
      <c r="D84" s="7" t="n"/>
      <c r="E84" s="7" t="n"/>
      <c r="F84" s="7" t="n"/>
      <c r="G84" s="26" t="n"/>
      <c r="H84" s="8">
        <f>IF($G84="","",IFERROR(INDEX(SAN_PHAM!$D$5:$D$26,MATCH($G84,SAN_PHAM!$A$5:$A$26,0)),"Sai mã SP"))</f>
        <v/>
      </c>
      <c r="I84" s="8">
        <f>IF(OR($G84="",$A84=""),"",IFERROR(INDEX(SAN_PHAM!$L$5:$L$26,MATCH($G84,SAN_PHAM!$A$5:$A$26,0))&amp;"?sub_id=ChiGiang-"&amp;SUBSTITUTE($A84,"-","")&amp;"-FBReels-SP"&amp;TEXT($G84,"00"),""))</f>
        <v/>
      </c>
      <c r="J84" s="8">
        <f>IF($G84="","",IFERROR(INDEX(SAN_PHAM!$N$5:$N$26,MATCH($G84,SAN_PHAM!$A$5:$A$26,0)),""))</f>
        <v/>
      </c>
      <c r="K84" s="7" t="n"/>
      <c r="L84" s="7" t="n"/>
      <c r="M84" s="26" t="n"/>
      <c r="N84" s="42" t="n"/>
      <c r="O84" s="26" t="n"/>
      <c r="P84" s="7" t="n"/>
      <c r="Q84" s="43" t="n"/>
      <c r="R84" s="43" t="n"/>
      <c r="S84" s="43" t="n"/>
      <c r="T84" s="7" t="n"/>
    </row>
    <row r="85">
      <c r="A85" s="26" t="n"/>
      <c r="B85" s="26" t="n"/>
      <c r="C85" s="7" t="n"/>
      <c r="D85" s="7" t="n"/>
      <c r="E85" s="7" t="n"/>
      <c r="F85" s="7" t="n"/>
      <c r="G85" s="26" t="n"/>
      <c r="H85" s="8">
        <f>IF($G85="","",IFERROR(INDEX(SAN_PHAM!$D$5:$D$26,MATCH($G85,SAN_PHAM!$A$5:$A$26,0)),"Sai mã SP"))</f>
        <v/>
      </c>
      <c r="I85" s="8">
        <f>IF(OR($G85="",$A85=""),"",IFERROR(INDEX(SAN_PHAM!$L$5:$L$26,MATCH($G85,SAN_PHAM!$A$5:$A$26,0))&amp;"?sub_id=ChiGiang-"&amp;SUBSTITUTE($A85,"-","")&amp;"-FBReels-SP"&amp;TEXT($G85,"00"),""))</f>
        <v/>
      </c>
      <c r="J85" s="8">
        <f>IF($G85="","",IFERROR(INDEX(SAN_PHAM!$N$5:$N$26,MATCH($G85,SAN_PHAM!$A$5:$A$26,0)),""))</f>
        <v/>
      </c>
      <c r="K85" s="7" t="n"/>
      <c r="L85" s="7" t="n"/>
      <c r="M85" s="26" t="n"/>
      <c r="N85" s="42" t="n"/>
      <c r="O85" s="26" t="n"/>
      <c r="P85" s="7" t="n"/>
      <c r="Q85" s="43" t="n"/>
      <c r="R85" s="43" t="n"/>
      <c r="S85" s="43" t="n"/>
      <c r="T85" s="7" t="n"/>
    </row>
    <row r="86">
      <c r="A86" s="26" t="n"/>
      <c r="B86" s="26" t="n"/>
      <c r="C86" s="7" t="n"/>
      <c r="D86" s="7" t="n"/>
      <c r="E86" s="7" t="n"/>
      <c r="F86" s="7" t="n"/>
      <c r="G86" s="26" t="n"/>
      <c r="H86" s="8">
        <f>IF($G86="","",IFERROR(INDEX(SAN_PHAM!$D$5:$D$26,MATCH($G86,SAN_PHAM!$A$5:$A$26,0)),"Sai mã SP"))</f>
        <v/>
      </c>
      <c r="I86" s="8">
        <f>IF(OR($G86="",$A86=""),"",IFERROR(INDEX(SAN_PHAM!$L$5:$L$26,MATCH($G86,SAN_PHAM!$A$5:$A$26,0))&amp;"?sub_id=ChiGiang-"&amp;SUBSTITUTE($A86,"-","")&amp;"-FBReels-SP"&amp;TEXT($G86,"00"),""))</f>
        <v/>
      </c>
      <c r="J86" s="8">
        <f>IF($G86="","",IFERROR(INDEX(SAN_PHAM!$N$5:$N$26,MATCH($G86,SAN_PHAM!$A$5:$A$26,0)),""))</f>
        <v/>
      </c>
      <c r="K86" s="7" t="n"/>
      <c r="L86" s="7" t="n"/>
      <c r="M86" s="26" t="n"/>
      <c r="N86" s="42" t="n"/>
      <c r="O86" s="26" t="n"/>
      <c r="P86" s="7" t="n"/>
      <c r="Q86" s="43" t="n"/>
      <c r="R86" s="43" t="n"/>
      <c r="S86" s="43" t="n"/>
      <c r="T86" s="7" t="n"/>
    </row>
    <row r="87">
      <c r="A87" s="26" t="n"/>
      <c r="B87" s="26" t="n"/>
      <c r="C87" s="7" t="n"/>
      <c r="D87" s="7" t="n"/>
      <c r="E87" s="7" t="n"/>
      <c r="F87" s="7" t="n"/>
      <c r="G87" s="26" t="n"/>
      <c r="H87" s="8">
        <f>IF($G87="","",IFERROR(INDEX(SAN_PHAM!$D$5:$D$26,MATCH($G87,SAN_PHAM!$A$5:$A$26,0)),"Sai mã SP"))</f>
        <v/>
      </c>
      <c r="I87" s="8">
        <f>IF(OR($G87="",$A87=""),"",IFERROR(INDEX(SAN_PHAM!$L$5:$L$26,MATCH($G87,SAN_PHAM!$A$5:$A$26,0))&amp;"?sub_id=ChiGiang-"&amp;SUBSTITUTE($A87,"-","")&amp;"-FBReels-SP"&amp;TEXT($G87,"00"),""))</f>
        <v/>
      </c>
      <c r="J87" s="8">
        <f>IF($G87="","",IFERROR(INDEX(SAN_PHAM!$N$5:$N$26,MATCH($G87,SAN_PHAM!$A$5:$A$26,0)),""))</f>
        <v/>
      </c>
      <c r="K87" s="7" t="n"/>
      <c r="L87" s="7" t="n"/>
      <c r="M87" s="26" t="n"/>
      <c r="N87" s="42" t="n"/>
      <c r="O87" s="26" t="n"/>
      <c r="P87" s="7" t="n"/>
      <c r="Q87" s="43" t="n"/>
      <c r="R87" s="43" t="n"/>
      <c r="S87" s="43" t="n"/>
      <c r="T87" s="7" t="n"/>
    </row>
    <row r="88">
      <c r="A88" s="26" t="n"/>
      <c r="B88" s="26" t="n"/>
      <c r="C88" s="7" t="n"/>
      <c r="D88" s="7" t="n"/>
      <c r="E88" s="7" t="n"/>
      <c r="F88" s="7" t="n"/>
      <c r="G88" s="26" t="n"/>
      <c r="H88" s="8">
        <f>IF($G88="","",IFERROR(INDEX(SAN_PHAM!$D$5:$D$26,MATCH($G88,SAN_PHAM!$A$5:$A$26,0)),"Sai mã SP"))</f>
        <v/>
      </c>
      <c r="I88" s="8">
        <f>IF(OR($G88="",$A88=""),"",IFERROR(INDEX(SAN_PHAM!$L$5:$L$26,MATCH($G88,SAN_PHAM!$A$5:$A$26,0))&amp;"?sub_id=ChiGiang-"&amp;SUBSTITUTE($A88,"-","")&amp;"-FBReels-SP"&amp;TEXT($G88,"00"),""))</f>
        <v/>
      </c>
      <c r="J88" s="8">
        <f>IF($G88="","",IFERROR(INDEX(SAN_PHAM!$N$5:$N$26,MATCH($G88,SAN_PHAM!$A$5:$A$26,0)),""))</f>
        <v/>
      </c>
      <c r="K88" s="7" t="n"/>
      <c r="L88" s="7" t="n"/>
      <c r="M88" s="26" t="n"/>
      <c r="N88" s="42" t="n"/>
      <c r="O88" s="26" t="n"/>
      <c r="P88" s="7" t="n"/>
      <c r="Q88" s="43" t="n"/>
      <c r="R88" s="43" t="n"/>
      <c r="S88" s="43" t="n"/>
      <c r="T88" s="7" t="n"/>
    </row>
    <row r="89">
      <c r="A89" s="26" t="n"/>
      <c r="B89" s="26" t="n"/>
      <c r="C89" s="7" t="n"/>
      <c r="D89" s="7" t="n"/>
      <c r="E89" s="7" t="n"/>
      <c r="F89" s="7" t="n"/>
      <c r="G89" s="26" t="n"/>
      <c r="H89" s="8">
        <f>IF($G89="","",IFERROR(INDEX(SAN_PHAM!$D$5:$D$26,MATCH($G89,SAN_PHAM!$A$5:$A$26,0)),"Sai mã SP"))</f>
        <v/>
      </c>
      <c r="I89" s="8">
        <f>IF(OR($G89="",$A89=""),"",IFERROR(INDEX(SAN_PHAM!$L$5:$L$26,MATCH($G89,SAN_PHAM!$A$5:$A$26,0))&amp;"?sub_id=ChiGiang-"&amp;SUBSTITUTE($A89,"-","")&amp;"-FBReels-SP"&amp;TEXT($G89,"00"),""))</f>
        <v/>
      </c>
      <c r="J89" s="8">
        <f>IF($G89="","",IFERROR(INDEX(SAN_PHAM!$N$5:$N$26,MATCH($G89,SAN_PHAM!$A$5:$A$26,0)),""))</f>
        <v/>
      </c>
      <c r="K89" s="7" t="n"/>
      <c r="L89" s="7" t="n"/>
      <c r="M89" s="26" t="n"/>
      <c r="N89" s="42" t="n"/>
      <c r="O89" s="26" t="n"/>
      <c r="P89" s="7" t="n"/>
      <c r="Q89" s="43" t="n"/>
      <c r="R89" s="43" t="n"/>
      <c r="S89" s="43" t="n"/>
      <c r="T89" s="7" t="n"/>
    </row>
    <row r="90">
      <c r="A90" s="26" t="n"/>
      <c r="B90" s="26" t="n"/>
      <c r="C90" s="7" t="n"/>
      <c r="D90" s="7" t="n"/>
      <c r="E90" s="7" t="n"/>
      <c r="F90" s="7" t="n"/>
      <c r="G90" s="26" t="n"/>
      <c r="H90" s="8">
        <f>IF($G90="","",IFERROR(INDEX(SAN_PHAM!$D$5:$D$26,MATCH($G90,SAN_PHAM!$A$5:$A$26,0)),"Sai mã SP"))</f>
        <v/>
      </c>
      <c r="I90" s="8">
        <f>IF(OR($G90="",$A90=""),"",IFERROR(INDEX(SAN_PHAM!$L$5:$L$26,MATCH($G90,SAN_PHAM!$A$5:$A$26,0))&amp;"?sub_id=ChiGiang-"&amp;SUBSTITUTE($A90,"-","")&amp;"-FBReels-SP"&amp;TEXT($G90,"00"),""))</f>
        <v/>
      </c>
      <c r="J90" s="8">
        <f>IF($G90="","",IFERROR(INDEX(SAN_PHAM!$N$5:$N$26,MATCH($G90,SAN_PHAM!$A$5:$A$26,0)),""))</f>
        <v/>
      </c>
      <c r="K90" s="7" t="n"/>
      <c r="L90" s="7" t="n"/>
      <c r="M90" s="26" t="n"/>
      <c r="N90" s="42" t="n"/>
      <c r="O90" s="26" t="n"/>
      <c r="P90" s="7" t="n"/>
      <c r="Q90" s="43" t="n"/>
      <c r="R90" s="43" t="n"/>
      <c r="S90" s="43" t="n"/>
      <c r="T90" s="7" t="n"/>
    </row>
    <row r="91">
      <c r="A91" s="26" t="n"/>
      <c r="B91" s="26" t="n"/>
      <c r="C91" s="7" t="n"/>
      <c r="D91" s="7" t="n"/>
      <c r="E91" s="7" t="n"/>
      <c r="F91" s="7" t="n"/>
      <c r="G91" s="26" t="n"/>
      <c r="H91" s="8">
        <f>IF($G91="","",IFERROR(INDEX(SAN_PHAM!$D$5:$D$26,MATCH($G91,SAN_PHAM!$A$5:$A$26,0)),"Sai mã SP"))</f>
        <v/>
      </c>
      <c r="I91" s="8">
        <f>IF(OR($G91="",$A91=""),"",IFERROR(INDEX(SAN_PHAM!$L$5:$L$26,MATCH($G91,SAN_PHAM!$A$5:$A$26,0))&amp;"?sub_id=ChiGiang-"&amp;SUBSTITUTE($A91,"-","")&amp;"-FBReels-SP"&amp;TEXT($G91,"00"),""))</f>
        <v/>
      </c>
      <c r="J91" s="8">
        <f>IF($G91="","",IFERROR(INDEX(SAN_PHAM!$N$5:$N$26,MATCH($G91,SAN_PHAM!$A$5:$A$26,0)),""))</f>
        <v/>
      </c>
      <c r="K91" s="7" t="n"/>
      <c r="L91" s="7" t="n"/>
      <c r="M91" s="26" t="n"/>
      <c r="N91" s="42" t="n"/>
      <c r="O91" s="26" t="n"/>
      <c r="P91" s="7" t="n"/>
      <c r="Q91" s="43" t="n"/>
      <c r="R91" s="43" t="n"/>
      <c r="S91" s="43" t="n"/>
      <c r="T91" s="7" t="n"/>
    </row>
    <row r="92">
      <c r="A92" s="26" t="n"/>
      <c r="B92" s="26" t="n"/>
      <c r="C92" s="7" t="n"/>
      <c r="D92" s="7" t="n"/>
      <c r="E92" s="7" t="n"/>
      <c r="F92" s="7" t="n"/>
      <c r="G92" s="26" t="n"/>
      <c r="H92" s="8">
        <f>IF($G92="","",IFERROR(INDEX(SAN_PHAM!$D$5:$D$26,MATCH($G92,SAN_PHAM!$A$5:$A$26,0)),"Sai mã SP"))</f>
        <v/>
      </c>
      <c r="I92" s="8">
        <f>IF(OR($G92="",$A92=""),"",IFERROR(INDEX(SAN_PHAM!$L$5:$L$26,MATCH($G92,SAN_PHAM!$A$5:$A$26,0))&amp;"?sub_id=ChiGiang-"&amp;SUBSTITUTE($A92,"-","")&amp;"-FBReels-SP"&amp;TEXT($G92,"00"),""))</f>
        <v/>
      </c>
      <c r="J92" s="8">
        <f>IF($G92="","",IFERROR(INDEX(SAN_PHAM!$N$5:$N$26,MATCH($G92,SAN_PHAM!$A$5:$A$26,0)),""))</f>
        <v/>
      </c>
      <c r="K92" s="7" t="n"/>
      <c r="L92" s="7" t="n"/>
      <c r="M92" s="26" t="n"/>
      <c r="N92" s="42" t="n"/>
      <c r="O92" s="26" t="n"/>
      <c r="P92" s="7" t="n"/>
      <c r="Q92" s="43" t="n"/>
      <c r="R92" s="43" t="n"/>
      <c r="S92" s="43" t="n"/>
      <c r="T92" s="7" t="n"/>
    </row>
    <row r="93">
      <c r="A93" s="26" t="n"/>
      <c r="B93" s="26" t="n"/>
      <c r="C93" s="7" t="n"/>
      <c r="D93" s="7" t="n"/>
      <c r="E93" s="7" t="n"/>
      <c r="F93" s="7" t="n"/>
      <c r="G93" s="26" t="n"/>
      <c r="H93" s="8">
        <f>IF($G93="","",IFERROR(INDEX(SAN_PHAM!$D$5:$D$26,MATCH($G93,SAN_PHAM!$A$5:$A$26,0)),"Sai mã SP"))</f>
        <v/>
      </c>
      <c r="I93" s="8">
        <f>IF(OR($G93="",$A93=""),"",IFERROR(INDEX(SAN_PHAM!$L$5:$L$26,MATCH($G93,SAN_PHAM!$A$5:$A$26,0))&amp;"?sub_id=ChiGiang-"&amp;SUBSTITUTE($A93,"-","")&amp;"-FBReels-SP"&amp;TEXT($G93,"00"),""))</f>
        <v/>
      </c>
      <c r="J93" s="8">
        <f>IF($G93="","",IFERROR(INDEX(SAN_PHAM!$N$5:$N$26,MATCH($G93,SAN_PHAM!$A$5:$A$26,0)),""))</f>
        <v/>
      </c>
      <c r="K93" s="7" t="n"/>
      <c r="L93" s="7" t="n"/>
      <c r="M93" s="26" t="n"/>
      <c r="N93" s="42" t="n"/>
      <c r="O93" s="26" t="n"/>
      <c r="P93" s="7" t="n"/>
      <c r="Q93" s="43" t="n"/>
      <c r="R93" s="43" t="n"/>
      <c r="S93" s="43" t="n"/>
      <c r="T93" s="7" t="n"/>
    </row>
    <row r="94">
      <c r="A94" s="26" t="n"/>
      <c r="B94" s="26" t="n"/>
      <c r="C94" s="7" t="n"/>
      <c r="D94" s="7" t="n"/>
      <c r="E94" s="7" t="n"/>
      <c r="F94" s="7" t="n"/>
      <c r="G94" s="26" t="n"/>
      <c r="H94" s="8">
        <f>IF($G94="","",IFERROR(INDEX(SAN_PHAM!$D$5:$D$26,MATCH($G94,SAN_PHAM!$A$5:$A$26,0)),"Sai mã SP"))</f>
        <v/>
      </c>
      <c r="I94" s="8">
        <f>IF(OR($G94="",$A94=""),"",IFERROR(INDEX(SAN_PHAM!$L$5:$L$26,MATCH($G94,SAN_PHAM!$A$5:$A$26,0))&amp;"?sub_id=ChiGiang-"&amp;SUBSTITUTE($A94,"-","")&amp;"-FBReels-SP"&amp;TEXT($G94,"00"),""))</f>
        <v/>
      </c>
      <c r="J94" s="8">
        <f>IF($G94="","",IFERROR(INDEX(SAN_PHAM!$N$5:$N$26,MATCH($G94,SAN_PHAM!$A$5:$A$26,0)),""))</f>
        <v/>
      </c>
      <c r="K94" s="7" t="n"/>
      <c r="L94" s="7" t="n"/>
      <c r="M94" s="26" t="n"/>
      <c r="N94" s="42" t="n"/>
      <c r="O94" s="26" t="n"/>
      <c r="P94" s="7" t="n"/>
      <c r="Q94" s="43" t="n"/>
      <c r="R94" s="43" t="n"/>
      <c r="S94" s="43" t="n"/>
      <c r="T94" s="7" t="n"/>
    </row>
    <row r="95">
      <c r="A95" s="26" t="n"/>
      <c r="B95" s="26" t="n"/>
      <c r="C95" s="7" t="n"/>
      <c r="D95" s="7" t="n"/>
      <c r="E95" s="7" t="n"/>
      <c r="F95" s="7" t="n"/>
      <c r="G95" s="26" t="n"/>
      <c r="H95" s="8">
        <f>IF($G95="","",IFERROR(INDEX(SAN_PHAM!$D$5:$D$26,MATCH($G95,SAN_PHAM!$A$5:$A$26,0)),"Sai mã SP"))</f>
        <v/>
      </c>
      <c r="I95" s="8">
        <f>IF(OR($G95="",$A95=""),"",IFERROR(INDEX(SAN_PHAM!$L$5:$L$26,MATCH($G95,SAN_PHAM!$A$5:$A$26,0))&amp;"?sub_id=ChiGiang-"&amp;SUBSTITUTE($A95,"-","")&amp;"-FBReels-SP"&amp;TEXT($G95,"00"),""))</f>
        <v/>
      </c>
      <c r="J95" s="8">
        <f>IF($G95="","",IFERROR(INDEX(SAN_PHAM!$N$5:$N$26,MATCH($G95,SAN_PHAM!$A$5:$A$26,0)),""))</f>
        <v/>
      </c>
      <c r="K95" s="7" t="n"/>
      <c r="L95" s="7" t="n"/>
      <c r="M95" s="26" t="n"/>
      <c r="N95" s="42" t="n"/>
      <c r="O95" s="26" t="n"/>
      <c r="P95" s="7" t="n"/>
      <c r="Q95" s="43" t="n"/>
      <c r="R95" s="43" t="n"/>
      <c r="S95" s="43" t="n"/>
      <c r="T95" s="7" t="n"/>
    </row>
    <row r="96">
      <c r="A96" s="26" t="n"/>
      <c r="B96" s="26" t="n"/>
      <c r="C96" s="7" t="n"/>
      <c r="D96" s="7" t="n"/>
      <c r="E96" s="7" t="n"/>
      <c r="F96" s="7" t="n"/>
      <c r="G96" s="26" t="n"/>
      <c r="H96" s="8">
        <f>IF($G96="","",IFERROR(INDEX(SAN_PHAM!$D$5:$D$26,MATCH($G96,SAN_PHAM!$A$5:$A$26,0)),"Sai mã SP"))</f>
        <v/>
      </c>
      <c r="I96" s="8">
        <f>IF(OR($G96="",$A96=""),"",IFERROR(INDEX(SAN_PHAM!$L$5:$L$26,MATCH($G96,SAN_PHAM!$A$5:$A$26,0))&amp;"?sub_id=ChiGiang-"&amp;SUBSTITUTE($A96,"-","")&amp;"-FBReels-SP"&amp;TEXT($G96,"00"),""))</f>
        <v/>
      </c>
      <c r="J96" s="8">
        <f>IF($G96="","",IFERROR(INDEX(SAN_PHAM!$N$5:$N$26,MATCH($G96,SAN_PHAM!$A$5:$A$26,0)),""))</f>
        <v/>
      </c>
      <c r="K96" s="7" t="n"/>
      <c r="L96" s="7" t="n"/>
      <c r="M96" s="26" t="n"/>
      <c r="N96" s="42" t="n"/>
      <c r="O96" s="26" t="n"/>
      <c r="P96" s="7" t="n"/>
      <c r="Q96" s="43" t="n"/>
      <c r="R96" s="43" t="n"/>
      <c r="S96" s="43" t="n"/>
      <c r="T96" s="7" t="n"/>
    </row>
    <row r="97">
      <c r="A97" s="26" t="n"/>
      <c r="B97" s="26" t="n"/>
      <c r="C97" s="7" t="n"/>
      <c r="D97" s="7" t="n"/>
      <c r="E97" s="7" t="n"/>
      <c r="F97" s="7" t="n"/>
      <c r="G97" s="26" t="n"/>
      <c r="H97" s="8">
        <f>IF($G97="","",IFERROR(INDEX(SAN_PHAM!$D$5:$D$26,MATCH($G97,SAN_PHAM!$A$5:$A$26,0)),"Sai mã SP"))</f>
        <v/>
      </c>
      <c r="I97" s="8">
        <f>IF(OR($G97="",$A97=""),"",IFERROR(INDEX(SAN_PHAM!$L$5:$L$26,MATCH($G97,SAN_PHAM!$A$5:$A$26,0))&amp;"?sub_id=ChiGiang-"&amp;SUBSTITUTE($A97,"-","")&amp;"-FBReels-SP"&amp;TEXT($G97,"00"),""))</f>
        <v/>
      </c>
      <c r="J97" s="8">
        <f>IF($G97="","",IFERROR(INDEX(SAN_PHAM!$N$5:$N$26,MATCH($G97,SAN_PHAM!$A$5:$A$26,0)),""))</f>
        <v/>
      </c>
      <c r="K97" s="7" t="n"/>
      <c r="L97" s="7" t="n"/>
      <c r="M97" s="26" t="n"/>
      <c r="N97" s="42" t="n"/>
      <c r="O97" s="26" t="n"/>
      <c r="P97" s="7" t="n"/>
      <c r="Q97" s="43" t="n"/>
      <c r="R97" s="43" t="n"/>
      <c r="S97" s="43" t="n"/>
      <c r="T97" s="7" t="n"/>
    </row>
    <row r="98">
      <c r="A98" s="26" t="n"/>
      <c r="B98" s="26" t="n"/>
      <c r="C98" s="7" t="n"/>
      <c r="D98" s="7" t="n"/>
      <c r="E98" s="7" t="n"/>
      <c r="F98" s="7" t="n"/>
      <c r="G98" s="26" t="n"/>
      <c r="H98" s="8">
        <f>IF($G98="","",IFERROR(INDEX(SAN_PHAM!$D$5:$D$26,MATCH($G98,SAN_PHAM!$A$5:$A$26,0)),"Sai mã SP"))</f>
        <v/>
      </c>
      <c r="I98" s="8">
        <f>IF(OR($G98="",$A98=""),"",IFERROR(INDEX(SAN_PHAM!$L$5:$L$26,MATCH($G98,SAN_PHAM!$A$5:$A$26,0))&amp;"?sub_id=ChiGiang-"&amp;SUBSTITUTE($A98,"-","")&amp;"-FBReels-SP"&amp;TEXT($G98,"00"),""))</f>
        <v/>
      </c>
      <c r="J98" s="8">
        <f>IF($G98="","",IFERROR(INDEX(SAN_PHAM!$N$5:$N$26,MATCH($G98,SAN_PHAM!$A$5:$A$26,0)),""))</f>
        <v/>
      </c>
      <c r="K98" s="7" t="n"/>
      <c r="L98" s="7" t="n"/>
      <c r="M98" s="26" t="n"/>
      <c r="N98" s="42" t="n"/>
      <c r="O98" s="26" t="n"/>
      <c r="P98" s="7" t="n"/>
      <c r="Q98" s="43" t="n"/>
      <c r="R98" s="43" t="n"/>
      <c r="S98" s="43" t="n"/>
      <c r="T98" s="7" t="n"/>
    </row>
    <row r="99">
      <c r="A99" s="26" t="n"/>
      <c r="B99" s="26" t="n"/>
      <c r="C99" s="7" t="n"/>
      <c r="D99" s="7" t="n"/>
      <c r="E99" s="7" t="n"/>
      <c r="F99" s="7" t="n"/>
      <c r="G99" s="26" t="n"/>
      <c r="H99" s="8">
        <f>IF($G99="","",IFERROR(INDEX(SAN_PHAM!$D$5:$D$26,MATCH($G99,SAN_PHAM!$A$5:$A$26,0)),"Sai mã SP"))</f>
        <v/>
      </c>
      <c r="I99" s="8">
        <f>IF(OR($G99="",$A99=""),"",IFERROR(INDEX(SAN_PHAM!$L$5:$L$26,MATCH($G99,SAN_PHAM!$A$5:$A$26,0))&amp;"?sub_id=ChiGiang-"&amp;SUBSTITUTE($A99,"-","")&amp;"-FBReels-SP"&amp;TEXT($G99,"00"),""))</f>
        <v/>
      </c>
      <c r="J99" s="8">
        <f>IF($G99="","",IFERROR(INDEX(SAN_PHAM!$N$5:$N$26,MATCH($G99,SAN_PHAM!$A$5:$A$26,0)),""))</f>
        <v/>
      </c>
      <c r="K99" s="7" t="n"/>
      <c r="L99" s="7" t="n"/>
      <c r="M99" s="26" t="n"/>
      <c r="N99" s="42" t="n"/>
      <c r="O99" s="26" t="n"/>
      <c r="P99" s="7" t="n"/>
      <c r="Q99" s="43" t="n"/>
      <c r="R99" s="43" t="n"/>
      <c r="S99" s="43" t="n"/>
      <c r="T99" s="7" t="n"/>
    </row>
    <row r="100">
      <c r="A100" s="26" t="n"/>
      <c r="B100" s="26" t="n"/>
      <c r="C100" s="7" t="n"/>
      <c r="D100" s="7" t="n"/>
      <c r="E100" s="7" t="n"/>
      <c r="F100" s="7" t="n"/>
      <c r="G100" s="26" t="n"/>
      <c r="H100" s="8">
        <f>IF($G100="","",IFERROR(INDEX(SAN_PHAM!$D$5:$D$26,MATCH($G100,SAN_PHAM!$A$5:$A$26,0)),"Sai mã SP"))</f>
        <v/>
      </c>
      <c r="I100" s="8">
        <f>IF(OR($G100="",$A100=""),"",IFERROR(INDEX(SAN_PHAM!$L$5:$L$26,MATCH($G100,SAN_PHAM!$A$5:$A$26,0))&amp;"?sub_id=ChiGiang-"&amp;SUBSTITUTE($A100,"-","")&amp;"-FBReels-SP"&amp;TEXT($G100,"00"),""))</f>
        <v/>
      </c>
      <c r="J100" s="8">
        <f>IF($G100="","",IFERROR(INDEX(SAN_PHAM!$N$5:$N$26,MATCH($G100,SAN_PHAM!$A$5:$A$26,0)),""))</f>
        <v/>
      </c>
      <c r="K100" s="7" t="n"/>
      <c r="L100" s="7" t="n"/>
      <c r="M100" s="26" t="n"/>
      <c r="N100" s="42" t="n"/>
      <c r="O100" s="26" t="n"/>
      <c r="P100" s="7" t="n"/>
      <c r="Q100" s="43" t="n"/>
      <c r="R100" s="43" t="n"/>
      <c r="S100" s="43" t="n"/>
      <c r="T100" s="7" t="n"/>
    </row>
    <row r="101">
      <c r="A101" s="26" t="n"/>
      <c r="B101" s="26" t="n"/>
      <c r="C101" s="7" t="n"/>
      <c r="D101" s="7" t="n"/>
      <c r="E101" s="7" t="n"/>
      <c r="F101" s="7" t="n"/>
      <c r="G101" s="26" t="n"/>
      <c r="H101" s="8">
        <f>IF($G101="","",IFERROR(INDEX(SAN_PHAM!$D$5:$D$26,MATCH($G101,SAN_PHAM!$A$5:$A$26,0)),"Sai mã SP"))</f>
        <v/>
      </c>
      <c r="I101" s="8">
        <f>IF(OR($G101="",$A101=""),"",IFERROR(INDEX(SAN_PHAM!$L$5:$L$26,MATCH($G101,SAN_PHAM!$A$5:$A$26,0))&amp;"?sub_id=ChiGiang-"&amp;SUBSTITUTE($A101,"-","")&amp;"-FBReels-SP"&amp;TEXT($G101,"00"),""))</f>
        <v/>
      </c>
      <c r="J101" s="8">
        <f>IF($G101="","",IFERROR(INDEX(SAN_PHAM!$N$5:$N$26,MATCH($G101,SAN_PHAM!$A$5:$A$26,0)),""))</f>
        <v/>
      </c>
      <c r="K101" s="7" t="n"/>
      <c r="L101" s="7" t="n"/>
      <c r="M101" s="26" t="n"/>
      <c r="N101" s="42" t="n"/>
      <c r="O101" s="26" t="n"/>
      <c r="P101" s="7" t="n"/>
      <c r="Q101" s="43" t="n"/>
      <c r="R101" s="43" t="n"/>
      <c r="S101" s="43" t="n"/>
      <c r="T101" s="7" t="n"/>
    </row>
    <row r="102">
      <c r="A102" s="26" t="n"/>
      <c r="B102" s="26" t="n"/>
      <c r="C102" s="7" t="n"/>
      <c r="D102" s="7" t="n"/>
      <c r="E102" s="7" t="n"/>
      <c r="F102" s="7" t="n"/>
      <c r="G102" s="26" t="n"/>
      <c r="H102" s="8">
        <f>IF($G102="","",IFERROR(INDEX(SAN_PHAM!$D$5:$D$26,MATCH($G102,SAN_PHAM!$A$5:$A$26,0)),"Sai mã SP"))</f>
        <v/>
      </c>
      <c r="I102" s="8">
        <f>IF(OR($G102="",$A102=""),"",IFERROR(INDEX(SAN_PHAM!$L$5:$L$26,MATCH($G102,SAN_PHAM!$A$5:$A$26,0))&amp;"?sub_id=ChiGiang-"&amp;SUBSTITUTE($A102,"-","")&amp;"-FBReels-SP"&amp;TEXT($G102,"00"),""))</f>
        <v/>
      </c>
      <c r="J102" s="8">
        <f>IF($G102="","",IFERROR(INDEX(SAN_PHAM!$N$5:$N$26,MATCH($G102,SAN_PHAM!$A$5:$A$26,0)),""))</f>
        <v/>
      </c>
      <c r="K102" s="7" t="n"/>
      <c r="L102" s="7" t="n"/>
      <c r="M102" s="26" t="n"/>
      <c r="N102" s="42" t="n"/>
      <c r="O102" s="26" t="n"/>
      <c r="P102" s="7" t="n"/>
      <c r="Q102" s="43" t="n"/>
      <c r="R102" s="43" t="n"/>
      <c r="S102" s="43" t="n"/>
      <c r="T102" s="7" t="n"/>
    </row>
    <row r="103">
      <c r="A103" s="26" t="n"/>
      <c r="B103" s="26" t="n"/>
      <c r="C103" s="7" t="n"/>
      <c r="D103" s="7" t="n"/>
      <c r="E103" s="7" t="n"/>
      <c r="F103" s="7" t="n"/>
      <c r="G103" s="26" t="n"/>
      <c r="H103" s="8">
        <f>IF($G103="","",IFERROR(INDEX(SAN_PHAM!$D$5:$D$26,MATCH($G103,SAN_PHAM!$A$5:$A$26,0)),"Sai mã SP"))</f>
        <v/>
      </c>
      <c r="I103" s="8">
        <f>IF(OR($G103="",$A103=""),"",IFERROR(INDEX(SAN_PHAM!$L$5:$L$26,MATCH($G103,SAN_PHAM!$A$5:$A$26,0))&amp;"?sub_id=ChiGiang-"&amp;SUBSTITUTE($A103,"-","")&amp;"-FBReels-SP"&amp;TEXT($G103,"00"),""))</f>
        <v/>
      </c>
      <c r="J103" s="8">
        <f>IF($G103="","",IFERROR(INDEX(SAN_PHAM!$N$5:$N$26,MATCH($G103,SAN_PHAM!$A$5:$A$26,0)),""))</f>
        <v/>
      </c>
      <c r="K103" s="7" t="n"/>
      <c r="L103" s="7" t="n"/>
      <c r="M103" s="26" t="n"/>
      <c r="N103" s="42" t="n"/>
      <c r="O103" s="26" t="n"/>
      <c r="P103" s="7" t="n"/>
      <c r="Q103" s="43" t="n"/>
      <c r="R103" s="43" t="n"/>
      <c r="S103" s="43" t="n"/>
      <c r="T103" s="7" t="n"/>
    </row>
    <row r="104">
      <c r="A104" s="26" t="n"/>
      <c r="B104" s="26" t="n"/>
      <c r="C104" s="7" t="n"/>
      <c r="D104" s="7" t="n"/>
      <c r="E104" s="7" t="n"/>
      <c r="F104" s="7" t="n"/>
      <c r="G104" s="26" t="n"/>
      <c r="H104" s="8">
        <f>IF($G104="","",IFERROR(INDEX(SAN_PHAM!$D$5:$D$26,MATCH($G104,SAN_PHAM!$A$5:$A$26,0)),"Sai mã SP"))</f>
        <v/>
      </c>
      <c r="I104" s="8">
        <f>IF(OR($G104="",$A104=""),"",IFERROR(INDEX(SAN_PHAM!$L$5:$L$26,MATCH($G104,SAN_PHAM!$A$5:$A$26,0))&amp;"?sub_id=ChiGiang-"&amp;SUBSTITUTE($A104,"-","")&amp;"-FBReels-SP"&amp;TEXT($G104,"00"),""))</f>
        <v/>
      </c>
      <c r="J104" s="8">
        <f>IF($G104="","",IFERROR(INDEX(SAN_PHAM!$N$5:$N$26,MATCH($G104,SAN_PHAM!$A$5:$A$26,0)),""))</f>
        <v/>
      </c>
      <c r="K104" s="7" t="n"/>
      <c r="L104" s="7" t="n"/>
      <c r="M104" s="26" t="n"/>
      <c r="N104" s="42" t="n"/>
      <c r="O104" s="26" t="n"/>
      <c r="P104" s="7" t="n"/>
      <c r="Q104" s="43" t="n"/>
      <c r="R104" s="43" t="n"/>
      <c r="S104" s="43" t="n"/>
      <c r="T104" s="7" t="n"/>
    </row>
    <row r="105">
      <c r="A105" s="26" t="n"/>
      <c r="B105" s="26" t="n"/>
      <c r="C105" s="7" t="n"/>
      <c r="D105" s="7" t="n"/>
      <c r="E105" s="7" t="n"/>
      <c r="F105" s="7" t="n"/>
      <c r="G105" s="26" t="n"/>
      <c r="H105" s="8">
        <f>IF($G105="","",IFERROR(INDEX(SAN_PHAM!$D$5:$D$26,MATCH($G105,SAN_PHAM!$A$5:$A$26,0)),"Sai mã SP"))</f>
        <v/>
      </c>
      <c r="I105" s="8">
        <f>IF(OR($G105="",$A105=""),"",IFERROR(INDEX(SAN_PHAM!$L$5:$L$26,MATCH($G105,SAN_PHAM!$A$5:$A$26,0))&amp;"?sub_id=ChiGiang-"&amp;SUBSTITUTE($A105,"-","")&amp;"-FBReels-SP"&amp;TEXT($G105,"00"),""))</f>
        <v/>
      </c>
      <c r="J105" s="8">
        <f>IF($G105="","",IFERROR(INDEX(SAN_PHAM!$N$5:$N$26,MATCH($G105,SAN_PHAM!$A$5:$A$26,0)),""))</f>
        <v/>
      </c>
      <c r="K105" s="7" t="n"/>
      <c r="L105" s="7" t="n"/>
      <c r="M105" s="26" t="n"/>
      <c r="N105" s="42" t="n"/>
      <c r="O105" s="26" t="n"/>
      <c r="P105" s="7" t="n"/>
      <c r="Q105" s="43" t="n"/>
      <c r="R105" s="43" t="n"/>
      <c r="S105" s="43" t="n"/>
      <c r="T105" s="7" t="n"/>
    </row>
    <row r="106">
      <c r="A106" s="26" t="n"/>
      <c r="B106" s="26" t="n"/>
      <c r="C106" s="7" t="n"/>
      <c r="D106" s="7" t="n"/>
      <c r="E106" s="7" t="n"/>
      <c r="F106" s="7" t="n"/>
      <c r="G106" s="26" t="n"/>
      <c r="H106" s="8">
        <f>IF($G106="","",IFERROR(INDEX(SAN_PHAM!$D$5:$D$26,MATCH($G106,SAN_PHAM!$A$5:$A$26,0)),"Sai mã SP"))</f>
        <v/>
      </c>
      <c r="I106" s="8">
        <f>IF(OR($G106="",$A106=""),"",IFERROR(INDEX(SAN_PHAM!$L$5:$L$26,MATCH($G106,SAN_PHAM!$A$5:$A$26,0))&amp;"?sub_id=ChiGiang-"&amp;SUBSTITUTE($A106,"-","")&amp;"-FBReels-SP"&amp;TEXT($G106,"00"),""))</f>
        <v/>
      </c>
      <c r="J106" s="8">
        <f>IF($G106="","",IFERROR(INDEX(SAN_PHAM!$N$5:$N$26,MATCH($G106,SAN_PHAM!$A$5:$A$26,0)),""))</f>
        <v/>
      </c>
      <c r="K106" s="7" t="n"/>
      <c r="L106" s="7" t="n"/>
      <c r="M106" s="26" t="n"/>
      <c r="N106" s="42" t="n"/>
      <c r="O106" s="26" t="n"/>
      <c r="P106" s="7" t="n"/>
      <c r="Q106" s="43" t="n"/>
      <c r="R106" s="43" t="n"/>
      <c r="S106" s="43" t="n"/>
      <c r="T106" s="7" t="n"/>
    </row>
    <row r="107">
      <c r="A107" s="26" t="n"/>
      <c r="B107" s="26" t="n"/>
      <c r="C107" s="7" t="n"/>
      <c r="D107" s="7" t="n"/>
      <c r="E107" s="7" t="n"/>
      <c r="F107" s="7" t="n"/>
      <c r="G107" s="26" t="n"/>
      <c r="H107" s="8">
        <f>IF($G107="","",IFERROR(INDEX(SAN_PHAM!$D$5:$D$26,MATCH($G107,SAN_PHAM!$A$5:$A$26,0)),"Sai mã SP"))</f>
        <v/>
      </c>
      <c r="I107" s="8">
        <f>IF(OR($G107="",$A107=""),"",IFERROR(INDEX(SAN_PHAM!$L$5:$L$26,MATCH($G107,SAN_PHAM!$A$5:$A$26,0))&amp;"?sub_id=ChiGiang-"&amp;SUBSTITUTE($A107,"-","")&amp;"-FBReels-SP"&amp;TEXT($G107,"00"),""))</f>
        <v/>
      </c>
      <c r="J107" s="8">
        <f>IF($G107="","",IFERROR(INDEX(SAN_PHAM!$N$5:$N$26,MATCH($G107,SAN_PHAM!$A$5:$A$26,0)),""))</f>
        <v/>
      </c>
      <c r="K107" s="7" t="n"/>
      <c r="L107" s="7" t="n"/>
      <c r="M107" s="26" t="n"/>
      <c r="N107" s="42" t="n"/>
      <c r="O107" s="26" t="n"/>
      <c r="P107" s="7" t="n"/>
      <c r="Q107" s="43" t="n"/>
      <c r="R107" s="43" t="n"/>
      <c r="S107" s="43" t="n"/>
      <c r="T107" s="7" t="n"/>
    </row>
    <row r="108">
      <c r="A108" s="26" t="n"/>
      <c r="B108" s="26" t="n"/>
      <c r="C108" s="7" t="n"/>
      <c r="D108" s="7" t="n"/>
      <c r="E108" s="7" t="n"/>
      <c r="F108" s="7" t="n"/>
      <c r="G108" s="26" t="n"/>
      <c r="H108" s="8">
        <f>IF($G108="","",IFERROR(INDEX(SAN_PHAM!$D$5:$D$26,MATCH($G108,SAN_PHAM!$A$5:$A$26,0)),"Sai mã SP"))</f>
        <v/>
      </c>
      <c r="I108" s="8">
        <f>IF(OR($G108="",$A108=""),"",IFERROR(INDEX(SAN_PHAM!$L$5:$L$26,MATCH($G108,SAN_PHAM!$A$5:$A$26,0))&amp;"?sub_id=ChiGiang-"&amp;SUBSTITUTE($A108,"-","")&amp;"-FBReels-SP"&amp;TEXT($G108,"00"),""))</f>
        <v/>
      </c>
      <c r="J108" s="8">
        <f>IF($G108="","",IFERROR(INDEX(SAN_PHAM!$N$5:$N$26,MATCH($G108,SAN_PHAM!$A$5:$A$26,0)),""))</f>
        <v/>
      </c>
      <c r="K108" s="7" t="n"/>
      <c r="L108" s="7" t="n"/>
      <c r="M108" s="26" t="n"/>
      <c r="N108" s="42" t="n"/>
      <c r="O108" s="26" t="n"/>
      <c r="P108" s="7" t="n"/>
      <c r="Q108" s="43" t="n"/>
      <c r="R108" s="43" t="n"/>
      <c r="S108" s="43" t="n"/>
      <c r="T108" s="7" t="n"/>
    </row>
    <row r="109">
      <c r="A109" s="26" t="n"/>
      <c r="B109" s="26" t="n"/>
      <c r="C109" s="7" t="n"/>
      <c r="D109" s="7" t="n"/>
      <c r="E109" s="7" t="n"/>
      <c r="F109" s="7" t="n"/>
      <c r="G109" s="26" t="n"/>
      <c r="H109" s="8">
        <f>IF($G109="","",IFERROR(INDEX(SAN_PHAM!$D$5:$D$26,MATCH($G109,SAN_PHAM!$A$5:$A$26,0)),"Sai mã SP"))</f>
        <v/>
      </c>
      <c r="I109" s="8">
        <f>IF(OR($G109="",$A109=""),"",IFERROR(INDEX(SAN_PHAM!$L$5:$L$26,MATCH($G109,SAN_PHAM!$A$5:$A$26,0))&amp;"?sub_id=ChiGiang-"&amp;SUBSTITUTE($A109,"-","")&amp;"-FBReels-SP"&amp;TEXT($G109,"00"),""))</f>
        <v/>
      </c>
      <c r="J109" s="8">
        <f>IF($G109="","",IFERROR(INDEX(SAN_PHAM!$N$5:$N$26,MATCH($G109,SAN_PHAM!$A$5:$A$26,0)),""))</f>
        <v/>
      </c>
      <c r="K109" s="7" t="n"/>
      <c r="L109" s="7" t="n"/>
      <c r="M109" s="26" t="n"/>
      <c r="N109" s="42" t="n"/>
      <c r="O109" s="26" t="n"/>
      <c r="P109" s="7" t="n"/>
      <c r="Q109" s="43" t="n"/>
      <c r="R109" s="43" t="n"/>
      <c r="S109" s="43" t="n"/>
      <c r="T109" s="7" t="n"/>
    </row>
    <row r="110">
      <c r="A110" s="26" t="n"/>
      <c r="B110" s="26" t="n"/>
      <c r="C110" s="7" t="n"/>
      <c r="D110" s="7" t="n"/>
      <c r="E110" s="7" t="n"/>
      <c r="F110" s="7" t="n"/>
      <c r="G110" s="26" t="n"/>
      <c r="H110" s="8">
        <f>IF($G110="","",IFERROR(INDEX(SAN_PHAM!$D$5:$D$26,MATCH($G110,SAN_PHAM!$A$5:$A$26,0)),"Sai mã SP"))</f>
        <v/>
      </c>
      <c r="I110" s="8">
        <f>IF(OR($G110="",$A110=""),"",IFERROR(INDEX(SAN_PHAM!$L$5:$L$26,MATCH($G110,SAN_PHAM!$A$5:$A$26,0))&amp;"?sub_id=ChiGiang-"&amp;SUBSTITUTE($A110,"-","")&amp;"-FBReels-SP"&amp;TEXT($G110,"00"),""))</f>
        <v/>
      </c>
      <c r="J110" s="8">
        <f>IF($G110="","",IFERROR(INDEX(SAN_PHAM!$N$5:$N$26,MATCH($G110,SAN_PHAM!$A$5:$A$26,0)),""))</f>
        <v/>
      </c>
      <c r="K110" s="7" t="n"/>
      <c r="L110" s="7" t="n"/>
      <c r="M110" s="26" t="n"/>
      <c r="N110" s="42" t="n"/>
      <c r="O110" s="26" t="n"/>
      <c r="P110" s="7" t="n"/>
      <c r="Q110" s="43" t="n"/>
      <c r="R110" s="43" t="n"/>
      <c r="S110" s="43" t="n"/>
      <c r="T110" s="7" t="n"/>
    </row>
    <row r="111">
      <c r="A111" s="26" t="n"/>
      <c r="B111" s="26" t="n"/>
      <c r="C111" s="7" t="n"/>
      <c r="D111" s="7" t="n"/>
      <c r="E111" s="7" t="n"/>
      <c r="F111" s="7" t="n"/>
      <c r="G111" s="26" t="n"/>
      <c r="H111" s="8">
        <f>IF($G111="","",IFERROR(INDEX(SAN_PHAM!$D$5:$D$26,MATCH($G111,SAN_PHAM!$A$5:$A$26,0)),"Sai mã SP"))</f>
        <v/>
      </c>
      <c r="I111" s="8">
        <f>IF(OR($G111="",$A111=""),"",IFERROR(INDEX(SAN_PHAM!$L$5:$L$26,MATCH($G111,SAN_PHAM!$A$5:$A$26,0))&amp;"?sub_id=ChiGiang-"&amp;SUBSTITUTE($A111,"-","")&amp;"-FBReels-SP"&amp;TEXT($G111,"00"),""))</f>
        <v/>
      </c>
      <c r="J111" s="8">
        <f>IF($G111="","",IFERROR(INDEX(SAN_PHAM!$N$5:$N$26,MATCH($G111,SAN_PHAM!$A$5:$A$26,0)),""))</f>
        <v/>
      </c>
      <c r="K111" s="7" t="n"/>
      <c r="L111" s="7" t="n"/>
      <c r="M111" s="26" t="n"/>
      <c r="N111" s="42" t="n"/>
      <c r="O111" s="26" t="n"/>
      <c r="P111" s="7" t="n"/>
      <c r="Q111" s="43" t="n"/>
      <c r="R111" s="43" t="n"/>
      <c r="S111" s="43" t="n"/>
      <c r="T111" s="7" t="n"/>
    </row>
    <row r="112">
      <c r="A112" s="26" t="n"/>
      <c r="B112" s="26" t="n"/>
      <c r="C112" s="7" t="n"/>
      <c r="D112" s="7" t="n"/>
      <c r="E112" s="7" t="n"/>
      <c r="F112" s="7" t="n"/>
      <c r="G112" s="26" t="n"/>
      <c r="H112" s="8">
        <f>IF($G112="","",IFERROR(INDEX(SAN_PHAM!$D$5:$D$26,MATCH($G112,SAN_PHAM!$A$5:$A$26,0)),"Sai mã SP"))</f>
        <v/>
      </c>
      <c r="I112" s="8">
        <f>IF(OR($G112="",$A112=""),"",IFERROR(INDEX(SAN_PHAM!$L$5:$L$26,MATCH($G112,SAN_PHAM!$A$5:$A$26,0))&amp;"?sub_id=ChiGiang-"&amp;SUBSTITUTE($A112,"-","")&amp;"-FBReels-SP"&amp;TEXT($G112,"00"),""))</f>
        <v/>
      </c>
      <c r="J112" s="8">
        <f>IF($G112="","",IFERROR(INDEX(SAN_PHAM!$N$5:$N$26,MATCH($G112,SAN_PHAM!$A$5:$A$26,0)),""))</f>
        <v/>
      </c>
      <c r="K112" s="7" t="n"/>
      <c r="L112" s="7" t="n"/>
      <c r="M112" s="26" t="n"/>
      <c r="N112" s="42" t="n"/>
      <c r="O112" s="26" t="n"/>
      <c r="P112" s="7" t="n"/>
      <c r="Q112" s="43" t="n"/>
      <c r="R112" s="43" t="n"/>
      <c r="S112" s="43" t="n"/>
      <c r="T112" s="7" t="n"/>
    </row>
    <row r="113">
      <c r="A113" s="26" t="n"/>
      <c r="B113" s="26" t="n"/>
      <c r="C113" s="7" t="n"/>
      <c r="D113" s="7" t="n"/>
      <c r="E113" s="7" t="n"/>
      <c r="F113" s="7" t="n"/>
      <c r="G113" s="26" t="n"/>
      <c r="H113" s="8">
        <f>IF($G113="","",IFERROR(INDEX(SAN_PHAM!$D$5:$D$26,MATCH($G113,SAN_PHAM!$A$5:$A$26,0)),"Sai mã SP"))</f>
        <v/>
      </c>
      <c r="I113" s="8">
        <f>IF(OR($G113="",$A113=""),"",IFERROR(INDEX(SAN_PHAM!$L$5:$L$26,MATCH($G113,SAN_PHAM!$A$5:$A$26,0))&amp;"?sub_id=ChiGiang-"&amp;SUBSTITUTE($A113,"-","")&amp;"-FBReels-SP"&amp;TEXT($G113,"00"),""))</f>
        <v/>
      </c>
      <c r="J113" s="8">
        <f>IF($G113="","",IFERROR(INDEX(SAN_PHAM!$N$5:$N$26,MATCH($G113,SAN_PHAM!$A$5:$A$26,0)),""))</f>
        <v/>
      </c>
      <c r="K113" s="7" t="n"/>
      <c r="L113" s="7" t="n"/>
      <c r="M113" s="26" t="n"/>
      <c r="N113" s="42" t="n"/>
      <c r="O113" s="26" t="n"/>
      <c r="P113" s="7" t="n"/>
      <c r="Q113" s="43" t="n"/>
      <c r="R113" s="43" t="n"/>
      <c r="S113" s="43" t="n"/>
      <c r="T113" s="7" t="n"/>
    </row>
    <row r="114">
      <c r="A114" s="26" t="n"/>
      <c r="B114" s="26" t="n"/>
      <c r="C114" s="7" t="n"/>
      <c r="D114" s="7" t="n"/>
      <c r="E114" s="7" t="n"/>
      <c r="F114" s="7" t="n"/>
      <c r="G114" s="26" t="n"/>
      <c r="H114" s="8">
        <f>IF($G114="","",IFERROR(INDEX(SAN_PHAM!$D$5:$D$26,MATCH($G114,SAN_PHAM!$A$5:$A$26,0)),"Sai mã SP"))</f>
        <v/>
      </c>
      <c r="I114" s="8">
        <f>IF(OR($G114="",$A114=""),"",IFERROR(INDEX(SAN_PHAM!$L$5:$L$26,MATCH($G114,SAN_PHAM!$A$5:$A$26,0))&amp;"?sub_id=ChiGiang-"&amp;SUBSTITUTE($A114,"-","")&amp;"-FBReels-SP"&amp;TEXT($G114,"00"),""))</f>
        <v/>
      </c>
      <c r="J114" s="8">
        <f>IF($G114="","",IFERROR(INDEX(SAN_PHAM!$N$5:$N$26,MATCH($G114,SAN_PHAM!$A$5:$A$26,0)),""))</f>
        <v/>
      </c>
      <c r="K114" s="7" t="n"/>
      <c r="L114" s="7" t="n"/>
      <c r="M114" s="26" t="n"/>
      <c r="N114" s="42" t="n"/>
      <c r="O114" s="26" t="n"/>
      <c r="P114" s="7" t="n"/>
      <c r="Q114" s="43" t="n"/>
      <c r="R114" s="43" t="n"/>
      <c r="S114" s="43" t="n"/>
      <c r="T114" s="7" t="n"/>
    </row>
    <row r="115">
      <c r="A115" s="26" t="n"/>
      <c r="B115" s="26" t="n"/>
      <c r="C115" s="7" t="n"/>
      <c r="D115" s="7" t="n"/>
      <c r="E115" s="7" t="n"/>
      <c r="F115" s="7" t="n"/>
      <c r="G115" s="26" t="n"/>
      <c r="H115" s="8">
        <f>IF($G115="","",IFERROR(INDEX(SAN_PHAM!$D$5:$D$26,MATCH($G115,SAN_PHAM!$A$5:$A$26,0)),"Sai mã SP"))</f>
        <v/>
      </c>
      <c r="I115" s="8">
        <f>IF(OR($G115="",$A115=""),"",IFERROR(INDEX(SAN_PHAM!$L$5:$L$26,MATCH($G115,SAN_PHAM!$A$5:$A$26,0))&amp;"?sub_id=ChiGiang-"&amp;SUBSTITUTE($A115,"-","")&amp;"-FBReels-SP"&amp;TEXT($G115,"00"),""))</f>
        <v/>
      </c>
      <c r="J115" s="8">
        <f>IF($G115="","",IFERROR(INDEX(SAN_PHAM!$N$5:$N$26,MATCH($G115,SAN_PHAM!$A$5:$A$26,0)),""))</f>
        <v/>
      </c>
      <c r="K115" s="7" t="n"/>
      <c r="L115" s="7" t="n"/>
      <c r="M115" s="26" t="n"/>
      <c r="N115" s="42" t="n"/>
      <c r="O115" s="26" t="n"/>
      <c r="P115" s="7" t="n"/>
      <c r="Q115" s="43" t="n"/>
      <c r="R115" s="43" t="n"/>
      <c r="S115" s="43" t="n"/>
      <c r="T115" s="7" t="n"/>
    </row>
    <row r="116">
      <c r="A116" s="26" t="n"/>
      <c r="B116" s="26" t="n"/>
      <c r="C116" s="7" t="n"/>
      <c r="D116" s="7" t="n"/>
      <c r="E116" s="7" t="n"/>
      <c r="F116" s="7" t="n"/>
      <c r="G116" s="26" t="n"/>
      <c r="H116" s="8">
        <f>IF($G116="","",IFERROR(INDEX(SAN_PHAM!$D$5:$D$26,MATCH($G116,SAN_PHAM!$A$5:$A$26,0)),"Sai mã SP"))</f>
        <v/>
      </c>
      <c r="I116" s="8">
        <f>IF(OR($G116="",$A116=""),"",IFERROR(INDEX(SAN_PHAM!$L$5:$L$26,MATCH($G116,SAN_PHAM!$A$5:$A$26,0))&amp;"?sub_id=ChiGiang-"&amp;SUBSTITUTE($A116,"-","")&amp;"-FBReels-SP"&amp;TEXT($G116,"00"),""))</f>
        <v/>
      </c>
      <c r="J116" s="8">
        <f>IF($G116="","",IFERROR(INDEX(SAN_PHAM!$N$5:$N$26,MATCH($G116,SAN_PHAM!$A$5:$A$26,0)),""))</f>
        <v/>
      </c>
      <c r="K116" s="7" t="n"/>
      <c r="L116" s="7" t="n"/>
      <c r="M116" s="26" t="n"/>
      <c r="N116" s="42" t="n"/>
      <c r="O116" s="26" t="n"/>
      <c r="P116" s="7" t="n"/>
      <c r="Q116" s="43" t="n"/>
      <c r="R116" s="43" t="n"/>
      <c r="S116" s="43" t="n"/>
      <c r="T116" s="7" t="n"/>
    </row>
    <row r="117">
      <c r="A117" s="26" t="n"/>
      <c r="B117" s="26" t="n"/>
      <c r="C117" s="7" t="n"/>
      <c r="D117" s="7" t="n"/>
      <c r="E117" s="7" t="n"/>
      <c r="F117" s="7" t="n"/>
      <c r="G117" s="26" t="n"/>
      <c r="H117" s="8">
        <f>IF($G117="","",IFERROR(INDEX(SAN_PHAM!$D$5:$D$26,MATCH($G117,SAN_PHAM!$A$5:$A$26,0)),"Sai mã SP"))</f>
        <v/>
      </c>
      <c r="I117" s="8">
        <f>IF(OR($G117="",$A117=""),"",IFERROR(INDEX(SAN_PHAM!$L$5:$L$26,MATCH($G117,SAN_PHAM!$A$5:$A$26,0))&amp;"?sub_id=ChiGiang-"&amp;SUBSTITUTE($A117,"-","")&amp;"-FBReels-SP"&amp;TEXT($G117,"00"),""))</f>
        <v/>
      </c>
      <c r="J117" s="8">
        <f>IF($G117="","",IFERROR(INDEX(SAN_PHAM!$N$5:$N$26,MATCH($G117,SAN_PHAM!$A$5:$A$26,0)),""))</f>
        <v/>
      </c>
      <c r="K117" s="7" t="n"/>
      <c r="L117" s="7" t="n"/>
      <c r="M117" s="26" t="n"/>
      <c r="N117" s="42" t="n"/>
      <c r="O117" s="26" t="n"/>
      <c r="P117" s="7" t="n"/>
      <c r="Q117" s="43" t="n"/>
      <c r="R117" s="43" t="n"/>
      <c r="S117" s="43" t="n"/>
      <c r="T117" s="7" t="n"/>
    </row>
    <row r="118">
      <c r="A118" s="26" t="n"/>
      <c r="B118" s="26" t="n"/>
      <c r="C118" s="7" t="n"/>
      <c r="D118" s="7" t="n"/>
      <c r="E118" s="7" t="n"/>
      <c r="F118" s="7" t="n"/>
      <c r="G118" s="26" t="n"/>
      <c r="H118" s="8">
        <f>IF($G118="","",IFERROR(INDEX(SAN_PHAM!$D$5:$D$26,MATCH($G118,SAN_PHAM!$A$5:$A$26,0)),"Sai mã SP"))</f>
        <v/>
      </c>
      <c r="I118" s="8">
        <f>IF(OR($G118="",$A118=""),"",IFERROR(INDEX(SAN_PHAM!$L$5:$L$26,MATCH($G118,SAN_PHAM!$A$5:$A$26,0))&amp;"?sub_id=ChiGiang-"&amp;SUBSTITUTE($A118,"-","")&amp;"-FBReels-SP"&amp;TEXT($G118,"00"),""))</f>
        <v/>
      </c>
      <c r="J118" s="8">
        <f>IF($G118="","",IFERROR(INDEX(SAN_PHAM!$N$5:$N$26,MATCH($G118,SAN_PHAM!$A$5:$A$26,0)),""))</f>
        <v/>
      </c>
      <c r="K118" s="7" t="n"/>
      <c r="L118" s="7" t="n"/>
      <c r="M118" s="26" t="n"/>
      <c r="N118" s="42" t="n"/>
      <c r="O118" s="26" t="n"/>
      <c r="P118" s="7" t="n"/>
      <c r="Q118" s="43" t="n"/>
      <c r="R118" s="43" t="n"/>
      <c r="S118" s="43" t="n"/>
      <c r="T118" s="7" t="n"/>
    </row>
    <row r="119">
      <c r="A119" s="26" t="n"/>
      <c r="B119" s="26" t="n"/>
      <c r="C119" s="7" t="n"/>
      <c r="D119" s="7" t="n"/>
      <c r="E119" s="7" t="n"/>
      <c r="F119" s="7" t="n"/>
      <c r="G119" s="26" t="n"/>
      <c r="H119" s="8">
        <f>IF($G119="","",IFERROR(INDEX(SAN_PHAM!$D$5:$D$26,MATCH($G119,SAN_PHAM!$A$5:$A$26,0)),"Sai mã SP"))</f>
        <v/>
      </c>
      <c r="I119" s="8">
        <f>IF(OR($G119="",$A119=""),"",IFERROR(INDEX(SAN_PHAM!$L$5:$L$26,MATCH($G119,SAN_PHAM!$A$5:$A$26,0))&amp;"?sub_id=ChiGiang-"&amp;SUBSTITUTE($A119,"-","")&amp;"-FBReels-SP"&amp;TEXT($G119,"00"),""))</f>
        <v/>
      </c>
      <c r="J119" s="8">
        <f>IF($G119="","",IFERROR(INDEX(SAN_PHAM!$N$5:$N$26,MATCH($G119,SAN_PHAM!$A$5:$A$26,0)),""))</f>
        <v/>
      </c>
      <c r="K119" s="7" t="n"/>
      <c r="L119" s="7" t="n"/>
      <c r="M119" s="26" t="n"/>
      <c r="N119" s="42" t="n"/>
      <c r="O119" s="26" t="n"/>
      <c r="P119" s="7" t="n"/>
      <c r="Q119" s="43" t="n"/>
      <c r="R119" s="43" t="n"/>
      <c r="S119" s="43" t="n"/>
      <c r="T119" s="7" t="n"/>
    </row>
    <row r="120">
      <c r="A120" s="26" t="n"/>
      <c r="B120" s="26" t="n"/>
      <c r="C120" s="7" t="n"/>
      <c r="D120" s="7" t="n"/>
      <c r="E120" s="7" t="n"/>
      <c r="F120" s="7" t="n"/>
      <c r="G120" s="26" t="n"/>
      <c r="H120" s="8">
        <f>IF($G120="","",IFERROR(INDEX(SAN_PHAM!$D$5:$D$26,MATCH($G120,SAN_PHAM!$A$5:$A$26,0)),"Sai mã SP"))</f>
        <v/>
      </c>
      <c r="I120" s="8">
        <f>IF(OR($G120="",$A120=""),"",IFERROR(INDEX(SAN_PHAM!$L$5:$L$26,MATCH($G120,SAN_PHAM!$A$5:$A$26,0))&amp;"?sub_id=ChiGiang-"&amp;SUBSTITUTE($A120,"-","")&amp;"-FBReels-SP"&amp;TEXT($G120,"00"),""))</f>
        <v/>
      </c>
      <c r="J120" s="8">
        <f>IF($G120="","",IFERROR(INDEX(SAN_PHAM!$N$5:$N$26,MATCH($G120,SAN_PHAM!$A$5:$A$26,0)),""))</f>
        <v/>
      </c>
      <c r="K120" s="7" t="n"/>
      <c r="L120" s="7" t="n"/>
      <c r="M120" s="26" t="n"/>
      <c r="N120" s="42" t="n"/>
      <c r="O120" s="26" t="n"/>
      <c r="P120" s="7" t="n"/>
      <c r="Q120" s="43" t="n"/>
      <c r="R120" s="43" t="n"/>
      <c r="S120" s="43" t="n"/>
      <c r="T120" s="7" t="n"/>
    </row>
    <row r="121">
      <c r="A121" s="26" t="n"/>
      <c r="B121" s="26" t="n"/>
      <c r="C121" s="7" t="n"/>
      <c r="D121" s="7" t="n"/>
      <c r="E121" s="7" t="n"/>
      <c r="F121" s="7" t="n"/>
      <c r="G121" s="26" t="n"/>
      <c r="H121" s="8">
        <f>IF($G121="","",IFERROR(INDEX(SAN_PHAM!$D$5:$D$26,MATCH($G121,SAN_PHAM!$A$5:$A$26,0)),"Sai mã SP"))</f>
        <v/>
      </c>
      <c r="I121" s="8">
        <f>IF(OR($G121="",$A121=""),"",IFERROR(INDEX(SAN_PHAM!$L$5:$L$26,MATCH($G121,SAN_PHAM!$A$5:$A$26,0))&amp;"?sub_id=ChiGiang-"&amp;SUBSTITUTE($A121,"-","")&amp;"-FBReels-SP"&amp;TEXT($G121,"00"),""))</f>
        <v/>
      </c>
      <c r="J121" s="8">
        <f>IF($G121="","",IFERROR(INDEX(SAN_PHAM!$N$5:$N$26,MATCH($G121,SAN_PHAM!$A$5:$A$26,0)),""))</f>
        <v/>
      </c>
      <c r="K121" s="7" t="n"/>
      <c r="L121" s="7" t="n"/>
      <c r="M121" s="26" t="n"/>
      <c r="N121" s="42" t="n"/>
      <c r="O121" s="26" t="n"/>
      <c r="P121" s="7" t="n"/>
      <c r="Q121" s="43" t="n"/>
      <c r="R121" s="43" t="n"/>
      <c r="S121" s="43" t="n"/>
      <c r="T121" s="7" t="n"/>
    </row>
    <row r="122">
      <c r="A122" s="26" t="n"/>
      <c r="B122" s="26" t="n"/>
      <c r="C122" s="7" t="n"/>
      <c r="D122" s="7" t="n"/>
      <c r="E122" s="7" t="n"/>
      <c r="F122" s="7" t="n"/>
      <c r="G122" s="26" t="n"/>
      <c r="H122" s="8">
        <f>IF($G122="","",IFERROR(INDEX(SAN_PHAM!$D$5:$D$26,MATCH($G122,SAN_PHAM!$A$5:$A$26,0)),"Sai mã SP"))</f>
        <v/>
      </c>
      <c r="I122" s="8">
        <f>IF(OR($G122="",$A122=""),"",IFERROR(INDEX(SAN_PHAM!$L$5:$L$26,MATCH($G122,SAN_PHAM!$A$5:$A$26,0))&amp;"?sub_id=ChiGiang-"&amp;SUBSTITUTE($A122,"-","")&amp;"-FBReels-SP"&amp;TEXT($G122,"00"),""))</f>
        <v/>
      </c>
      <c r="J122" s="8">
        <f>IF($G122="","",IFERROR(INDEX(SAN_PHAM!$N$5:$N$26,MATCH($G122,SAN_PHAM!$A$5:$A$26,0)),""))</f>
        <v/>
      </c>
      <c r="K122" s="7" t="n"/>
      <c r="L122" s="7" t="n"/>
      <c r="M122" s="26" t="n"/>
      <c r="N122" s="42" t="n"/>
      <c r="O122" s="26" t="n"/>
      <c r="P122" s="7" t="n"/>
      <c r="Q122" s="43" t="n"/>
      <c r="R122" s="43" t="n"/>
      <c r="S122" s="43" t="n"/>
      <c r="T122" s="7" t="n"/>
    </row>
    <row r="123">
      <c r="A123" s="26" t="n"/>
      <c r="B123" s="26" t="n"/>
      <c r="C123" s="7" t="n"/>
      <c r="D123" s="7" t="n"/>
      <c r="E123" s="7" t="n"/>
      <c r="F123" s="7" t="n"/>
      <c r="G123" s="26" t="n"/>
      <c r="H123" s="8">
        <f>IF($G123="","",IFERROR(INDEX(SAN_PHAM!$D$5:$D$26,MATCH($G123,SAN_PHAM!$A$5:$A$26,0)),"Sai mã SP"))</f>
        <v/>
      </c>
      <c r="I123" s="8">
        <f>IF(OR($G123="",$A123=""),"",IFERROR(INDEX(SAN_PHAM!$L$5:$L$26,MATCH($G123,SAN_PHAM!$A$5:$A$26,0))&amp;"?sub_id=ChiGiang-"&amp;SUBSTITUTE($A123,"-","")&amp;"-FBReels-SP"&amp;TEXT($G123,"00"),""))</f>
        <v/>
      </c>
      <c r="J123" s="8">
        <f>IF($G123="","",IFERROR(INDEX(SAN_PHAM!$N$5:$N$26,MATCH($G123,SAN_PHAM!$A$5:$A$26,0)),""))</f>
        <v/>
      </c>
      <c r="K123" s="7" t="n"/>
      <c r="L123" s="7" t="n"/>
      <c r="M123" s="26" t="n"/>
      <c r="N123" s="42" t="n"/>
      <c r="O123" s="26" t="n"/>
      <c r="P123" s="7" t="n"/>
      <c r="Q123" s="43" t="n"/>
      <c r="R123" s="43" t="n"/>
      <c r="S123" s="43" t="n"/>
      <c r="T123" s="7" t="n"/>
    </row>
    <row r="124">
      <c r="A124" s="26" t="n"/>
      <c r="B124" s="26" t="n"/>
      <c r="C124" s="7" t="n"/>
      <c r="D124" s="7" t="n"/>
      <c r="E124" s="7" t="n"/>
      <c r="F124" s="7" t="n"/>
      <c r="G124" s="26" t="n"/>
      <c r="H124" s="8">
        <f>IF($G124="","",IFERROR(INDEX(SAN_PHAM!$D$5:$D$26,MATCH($G124,SAN_PHAM!$A$5:$A$26,0)),"Sai mã SP"))</f>
        <v/>
      </c>
      <c r="I124" s="8">
        <f>IF(OR($G124="",$A124=""),"",IFERROR(INDEX(SAN_PHAM!$L$5:$L$26,MATCH($G124,SAN_PHAM!$A$5:$A$26,0))&amp;"?sub_id=ChiGiang-"&amp;SUBSTITUTE($A124,"-","")&amp;"-FBReels-SP"&amp;TEXT($G124,"00"),""))</f>
        <v/>
      </c>
      <c r="J124" s="8">
        <f>IF($G124="","",IFERROR(INDEX(SAN_PHAM!$N$5:$N$26,MATCH($G124,SAN_PHAM!$A$5:$A$26,0)),""))</f>
        <v/>
      </c>
      <c r="K124" s="7" t="n"/>
      <c r="L124" s="7" t="n"/>
      <c r="M124" s="26" t="n"/>
      <c r="N124" s="42" t="n"/>
      <c r="O124" s="26" t="n"/>
      <c r="P124" s="7" t="n"/>
      <c r="Q124" s="43" t="n"/>
      <c r="R124" s="43" t="n"/>
      <c r="S124" s="43" t="n"/>
      <c r="T124" s="7" t="n"/>
    </row>
    <row r="125">
      <c r="A125" s="26" t="n"/>
      <c r="B125" s="26" t="n"/>
      <c r="C125" s="7" t="n"/>
      <c r="D125" s="7" t="n"/>
      <c r="E125" s="7" t="n"/>
      <c r="F125" s="7" t="n"/>
      <c r="G125" s="26" t="n"/>
      <c r="H125" s="8">
        <f>IF($G125="","",IFERROR(INDEX(SAN_PHAM!$D$5:$D$26,MATCH($G125,SAN_PHAM!$A$5:$A$26,0)),"Sai mã SP"))</f>
        <v/>
      </c>
      <c r="I125" s="8">
        <f>IF(OR($G125="",$A125=""),"",IFERROR(INDEX(SAN_PHAM!$L$5:$L$26,MATCH($G125,SAN_PHAM!$A$5:$A$26,0))&amp;"?sub_id=ChiGiang-"&amp;SUBSTITUTE($A125,"-","")&amp;"-FBReels-SP"&amp;TEXT($G125,"00"),""))</f>
        <v/>
      </c>
      <c r="J125" s="8">
        <f>IF($G125="","",IFERROR(INDEX(SAN_PHAM!$N$5:$N$26,MATCH($G125,SAN_PHAM!$A$5:$A$26,0)),""))</f>
        <v/>
      </c>
      <c r="K125" s="7" t="n"/>
      <c r="L125" s="7" t="n"/>
      <c r="M125" s="26" t="n"/>
      <c r="N125" s="42" t="n"/>
      <c r="O125" s="26" t="n"/>
      <c r="P125" s="7" t="n"/>
      <c r="Q125" s="43" t="n"/>
      <c r="R125" s="43" t="n"/>
      <c r="S125" s="43" t="n"/>
      <c r="T125" s="7" t="n"/>
    </row>
    <row r="126">
      <c r="A126" s="26" t="n"/>
      <c r="B126" s="26" t="n"/>
      <c r="C126" s="7" t="n"/>
      <c r="D126" s="7" t="n"/>
      <c r="E126" s="7" t="n"/>
      <c r="F126" s="7" t="n"/>
      <c r="G126" s="26" t="n"/>
      <c r="H126" s="8">
        <f>IF($G126="","",IFERROR(INDEX(SAN_PHAM!$D$5:$D$26,MATCH($G126,SAN_PHAM!$A$5:$A$26,0)),"Sai mã SP"))</f>
        <v/>
      </c>
      <c r="I126" s="8">
        <f>IF(OR($G126="",$A126=""),"",IFERROR(INDEX(SAN_PHAM!$L$5:$L$26,MATCH($G126,SAN_PHAM!$A$5:$A$26,0))&amp;"?sub_id=ChiGiang-"&amp;SUBSTITUTE($A126,"-","")&amp;"-FBReels-SP"&amp;TEXT($G126,"00"),""))</f>
        <v/>
      </c>
      <c r="J126" s="8">
        <f>IF($G126="","",IFERROR(INDEX(SAN_PHAM!$N$5:$N$26,MATCH($G126,SAN_PHAM!$A$5:$A$26,0)),""))</f>
        <v/>
      </c>
      <c r="K126" s="7" t="n"/>
      <c r="L126" s="7" t="n"/>
      <c r="M126" s="26" t="n"/>
      <c r="N126" s="42" t="n"/>
      <c r="O126" s="26" t="n"/>
      <c r="P126" s="7" t="n"/>
      <c r="Q126" s="43" t="n"/>
      <c r="R126" s="43" t="n"/>
      <c r="S126" s="43" t="n"/>
      <c r="T126" s="7" t="n"/>
    </row>
    <row r="127">
      <c r="A127" s="26" t="n"/>
      <c r="B127" s="26" t="n"/>
      <c r="C127" s="7" t="n"/>
      <c r="D127" s="7" t="n"/>
      <c r="E127" s="7" t="n"/>
      <c r="F127" s="7" t="n"/>
      <c r="G127" s="26" t="n"/>
      <c r="H127" s="8">
        <f>IF($G127="","",IFERROR(INDEX(SAN_PHAM!$D$5:$D$26,MATCH($G127,SAN_PHAM!$A$5:$A$26,0)),"Sai mã SP"))</f>
        <v/>
      </c>
      <c r="I127" s="8">
        <f>IF(OR($G127="",$A127=""),"",IFERROR(INDEX(SAN_PHAM!$L$5:$L$26,MATCH($G127,SAN_PHAM!$A$5:$A$26,0))&amp;"?sub_id=ChiGiang-"&amp;SUBSTITUTE($A127,"-","")&amp;"-FBReels-SP"&amp;TEXT($G127,"00"),""))</f>
        <v/>
      </c>
      <c r="J127" s="8">
        <f>IF($G127="","",IFERROR(INDEX(SAN_PHAM!$N$5:$N$26,MATCH($G127,SAN_PHAM!$A$5:$A$26,0)),""))</f>
        <v/>
      </c>
      <c r="K127" s="7" t="n"/>
      <c r="L127" s="7" t="n"/>
      <c r="M127" s="26" t="n"/>
      <c r="N127" s="42" t="n"/>
      <c r="O127" s="26" t="n"/>
      <c r="P127" s="7" t="n"/>
      <c r="Q127" s="43" t="n"/>
      <c r="R127" s="43" t="n"/>
      <c r="S127" s="43" t="n"/>
      <c r="T127" s="7" t="n"/>
    </row>
    <row r="128">
      <c r="A128" s="26" t="n"/>
      <c r="B128" s="26" t="n"/>
      <c r="C128" s="7" t="n"/>
      <c r="D128" s="7" t="n"/>
      <c r="E128" s="7" t="n"/>
      <c r="F128" s="7" t="n"/>
      <c r="G128" s="26" t="n"/>
      <c r="H128" s="8">
        <f>IF($G128="","",IFERROR(INDEX(SAN_PHAM!$D$5:$D$26,MATCH($G128,SAN_PHAM!$A$5:$A$26,0)),"Sai mã SP"))</f>
        <v/>
      </c>
      <c r="I128" s="8">
        <f>IF(OR($G128="",$A128=""),"",IFERROR(INDEX(SAN_PHAM!$L$5:$L$26,MATCH($G128,SAN_PHAM!$A$5:$A$26,0))&amp;"?sub_id=ChiGiang-"&amp;SUBSTITUTE($A128,"-","")&amp;"-FBReels-SP"&amp;TEXT($G128,"00"),""))</f>
        <v/>
      </c>
      <c r="J128" s="8">
        <f>IF($G128="","",IFERROR(INDEX(SAN_PHAM!$N$5:$N$26,MATCH($G128,SAN_PHAM!$A$5:$A$26,0)),""))</f>
        <v/>
      </c>
      <c r="K128" s="7" t="n"/>
      <c r="L128" s="7" t="n"/>
      <c r="M128" s="26" t="n"/>
      <c r="N128" s="42" t="n"/>
      <c r="O128" s="26" t="n"/>
      <c r="P128" s="7" t="n"/>
      <c r="Q128" s="43" t="n"/>
      <c r="R128" s="43" t="n"/>
      <c r="S128" s="43" t="n"/>
      <c r="T128" s="7" t="n"/>
    </row>
    <row r="129">
      <c r="A129" s="26" t="n"/>
      <c r="B129" s="26" t="n"/>
      <c r="C129" s="7" t="n"/>
      <c r="D129" s="7" t="n"/>
      <c r="E129" s="7" t="n"/>
      <c r="F129" s="7" t="n"/>
      <c r="G129" s="26" t="n"/>
      <c r="H129" s="8">
        <f>IF($G129="","",IFERROR(INDEX(SAN_PHAM!$D$5:$D$26,MATCH($G129,SAN_PHAM!$A$5:$A$26,0)),"Sai mã SP"))</f>
        <v/>
      </c>
      <c r="I129" s="8">
        <f>IF(OR($G129="",$A129=""),"",IFERROR(INDEX(SAN_PHAM!$L$5:$L$26,MATCH($G129,SAN_PHAM!$A$5:$A$26,0))&amp;"?sub_id=ChiGiang-"&amp;SUBSTITUTE($A129,"-","")&amp;"-FBReels-SP"&amp;TEXT($G129,"00"),""))</f>
        <v/>
      </c>
      <c r="J129" s="8">
        <f>IF($G129="","",IFERROR(INDEX(SAN_PHAM!$N$5:$N$26,MATCH($G129,SAN_PHAM!$A$5:$A$26,0)),""))</f>
        <v/>
      </c>
      <c r="K129" s="7" t="n"/>
      <c r="L129" s="7" t="n"/>
      <c r="M129" s="26" t="n"/>
      <c r="N129" s="42" t="n"/>
      <c r="O129" s="26" t="n"/>
      <c r="P129" s="7" t="n"/>
      <c r="Q129" s="43" t="n"/>
      <c r="R129" s="43" t="n"/>
      <c r="S129" s="43" t="n"/>
      <c r="T129" s="7" t="n"/>
    </row>
    <row r="130">
      <c r="A130" s="26" t="n"/>
      <c r="B130" s="26" t="n"/>
      <c r="C130" s="7" t="n"/>
      <c r="D130" s="7" t="n"/>
      <c r="E130" s="7" t="n"/>
      <c r="F130" s="7" t="n"/>
      <c r="G130" s="26" t="n"/>
      <c r="H130" s="8">
        <f>IF($G130="","",IFERROR(INDEX(SAN_PHAM!$D$5:$D$26,MATCH($G130,SAN_PHAM!$A$5:$A$26,0)),"Sai mã SP"))</f>
        <v/>
      </c>
      <c r="I130" s="8">
        <f>IF(OR($G130="",$A130=""),"",IFERROR(INDEX(SAN_PHAM!$L$5:$L$26,MATCH($G130,SAN_PHAM!$A$5:$A$26,0))&amp;"?sub_id=ChiGiang-"&amp;SUBSTITUTE($A130,"-","")&amp;"-FBReels-SP"&amp;TEXT($G130,"00"),""))</f>
        <v/>
      </c>
      <c r="J130" s="8">
        <f>IF($G130="","",IFERROR(INDEX(SAN_PHAM!$N$5:$N$26,MATCH($G130,SAN_PHAM!$A$5:$A$26,0)),""))</f>
        <v/>
      </c>
      <c r="K130" s="7" t="n"/>
      <c r="L130" s="7" t="n"/>
      <c r="M130" s="26" t="n"/>
      <c r="N130" s="42" t="n"/>
      <c r="O130" s="26" t="n"/>
      <c r="P130" s="7" t="n"/>
      <c r="Q130" s="43" t="n"/>
      <c r="R130" s="43" t="n"/>
      <c r="S130" s="43" t="n"/>
      <c r="T130" s="7" t="n"/>
    </row>
    <row r="131">
      <c r="A131" s="26" t="n"/>
      <c r="B131" s="26" t="n"/>
      <c r="C131" s="7" t="n"/>
      <c r="D131" s="7" t="n"/>
      <c r="E131" s="7" t="n"/>
      <c r="F131" s="7" t="n"/>
      <c r="G131" s="26" t="n"/>
      <c r="H131" s="8">
        <f>IF($G131="","",IFERROR(INDEX(SAN_PHAM!$D$5:$D$26,MATCH($G131,SAN_PHAM!$A$5:$A$26,0)),"Sai mã SP"))</f>
        <v/>
      </c>
      <c r="I131" s="8">
        <f>IF(OR($G131="",$A131=""),"",IFERROR(INDEX(SAN_PHAM!$L$5:$L$26,MATCH($G131,SAN_PHAM!$A$5:$A$26,0))&amp;"?sub_id=ChiGiang-"&amp;SUBSTITUTE($A131,"-","")&amp;"-FBReels-SP"&amp;TEXT($G131,"00"),""))</f>
        <v/>
      </c>
      <c r="J131" s="8">
        <f>IF($G131="","",IFERROR(INDEX(SAN_PHAM!$N$5:$N$26,MATCH($G131,SAN_PHAM!$A$5:$A$26,0)),""))</f>
        <v/>
      </c>
      <c r="K131" s="7" t="n"/>
      <c r="L131" s="7" t="n"/>
      <c r="M131" s="26" t="n"/>
      <c r="N131" s="42" t="n"/>
      <c r="O131" s="26" t="n"/>
      <c r="P131" s="7" t="n"/>
      <c r="Q131" s="43" t="n"/>
      <c r="R131" s="43" t="n"/>
      <c r="S131" s="43" t="n"/>
      <c r="T131" s="7" t="n"/>
    </row>
    <row r="132">
      <c r="A132" s="26" t="n"/>
      <c r="B132" s="26" t="n"/>
      <c r="C132" s="7" t="n"/>
      <c r="D132" s="7" t="n"/>
      <c r="E132" s="7" t="n"/>
      <c r="F132" s="7" t="n"/>
      <c r="G132" s="26" t="n"/>
      <c r="H132" s="8">
        <f>IF($G132="","",IFERROR(INDEX(SAN_PHAM!$D$5:$D$26,MATCH($G132,SAN_PHAM!$A$5:$A$26,0)),"Sai mã SP"))</f>
        <v/>
      </c>
      <c r="I132" s="8">
        <f>IF(OR($G132="",$A132=""),"",IFERROR(INDEX(SAN_PHAM!$L$5:$L$26,MATCH($G132,SAN_PHAM!$A$5:$A$26,0))&amp;"?sub_id=ChiGiang-"&amp;SUBSTITUTE($A132,"-","")&amp;"-FBReels-SP"&amp;TEXT($G132,"00"),""))</f>
        <v/>
      </c>
      <c r="J132" s="8">
        <f>IF($G132="","",IFERROR(INDEX(SAN_PHAM!$N$5:$N$26,MATCH($G132,SAN_PHAM!$A$5:$A$26,0)),""))</f>
        <v/>
      </c>
      <c r="K132" s="7" t="n"/>
      <c r="L132" s="7" t="n"/>
      <c r="M132" s="26" t="n"/>
      <c r="N132" s="42" t="n"/>
      <c r="O132" s="26" t="n"/>
      <c r="P132" s="7" t="n"/>
      <c r="Q132" s="43" t="n"/>
      <c r="R132" s="43" t="n"/>
      <c r="S132" s="43" t="n"/>
      <c r="T132" s="7" t="n"/>
    </row>
    <row r="133">
      <c r="A133" s="26" t="n"/>
      <c r="B133" s="26" t="n"/>
      <c r="C133" s="7" t="n"/>
      <c r="D133" s="7" t="n"/>
      <c r="E133" s="7" t="n"/>
      <c r="F133" s="7" t="n"/>
      <c r="G133" s="26" t="n"/>
      <c r="H133" s="8">
        <f>IF($G133="","",IFERROR(INDEX(SAN_PHAM!$D$5:$D$26,MATCH($G133,SAN_PHAM!$A$5:$A$26,0)),"Sai mã SP"))</f>
        <v/>
      </c>
      <c r="I133" s="8">
        <f>IF(OR($G133="",$A133=""),"",IFERROR(INDEX(SAN_PHAM!$L$5:$L$26,MATCH($G133,SAN_PHAM!$A$5:$A$26,0))&amp;"?sub_id=ChiGiang-"&amp;SUBSTITUTE($A133,"-","")&amp;"-FBReels-SP"&amp;TEXT($G133,"00"),""))</f>
        <v/>
      </c>
      <c r="J133" s="8">
        <f>IF($G133="","",IFERROR(INDEX(SAN_PHAM!$N$5:$N$26,MATCH($G133,SAN_PHAM!$A$5:$A$26,0)),""))</f>
        <v/>
      </c>
      <c r="K133" s="7" t="n"/>
      <c r="L133" s="7" t="n"/>
      <c r="M133" s="26" t="n"/>
      <c r="N133" s="42" t="n"/>
      <c r="O133" s="26" t="n"/>
      <c r="P133" s="7" t="n"/>
      <c r="Q133" s="43" t="n"/>
      <c r="R133" s="43" t="n"/>
      <c r="S133" s="43" t="n"/>
      <c r="T133" s="7" t="n"/>
    </row>
    <row r="134">
      <c r="A134" s="26" t="n"/>
      <c r="B134" s="26" t="n"/>
      <c r="C134" s="7" t="n"/>
      <c r="D134" s="7" t="n"/>
      <c r="E134" s="7" t="n"/>
      <c r="F134" s="7" t="n"/>
      <c r="G134" s="26" t="n"/>
      <c r="H134" s="8">
        <f>IF($G134="","",IFERROR(INDEX(SAN_PHAM!$D$5:$D$26,MATCH($G134,SAN_PHAM!$A$5:$A$26,0)),"Sai mã SP"))</f>
        <v/>
      </c>
      <c r="I134" s="8">
        <f>IF(OR($G134="",$A134=""),"",IFERROR(INDEX(SAN_PHAM!$L$5:$L$26,MATCH($G134,SAN_PHAM!$A$5:$A$26,0))&amp;"?sub_id=ChiGiang-"&amp;SUBSTITUTE($A134,"-","")&amp;"-FBReels-SP"&amp;TEXT($G134,"00"),""))</f>
        <v/>
      </c>
      <c r="J134" s="8">
        <f>IF($G134="","",IFERROR(INDEX(SAN_PHAM!$N$5:$N$26,MATCH($G134,SAN_PHAM!$A$5:$A$26,0)),""))</f>
        <v/>
      </c>
      <c r="K134" s="7" t="n"/>
      <c r="L134" s="7" t="n"/>
      <c r="M134" s="26" t="n"/>
      <c r="N134" s="42" t="n"/>
      <c r="O134" s="26" t="n"/>
      <c r="P134" s="7" t="n"/>
      <c r="Q134" s="43" t="n"/>
      <c r="R134" s="43" t="n"/>
      <c r="S134" s="43" t="n"/>
      <c r="T134" s="7" t="n"/>
    </row>
    <row r="135">
      <c r="A135" s="26" t="n"/>
      <c r="B135" s="26" t="n"/>
      <c r="C135" s="7" t="n"/>
      <c r="D135" s="7" t="n"/>
      <c r="E135" s="7" t="n"/>
      <c r="F135" s="7" t="n"/>
      <c r="G135" s="26" t="n"/>
      <c r="H135" s="8">
        <f>IF($G135="","",IFERROR(INDEX(SAN_PHAM!$D$5:$D$26,MATCH($G135,SAN_PHAM!$A$5:$A$26,0)),"Sai mã SP"))</f>
        <v/>
      </c>
      <c r="I135" s="8">
        <f>IF(OR($G135="",$A135=""),"",IFERROR(INDEX(SAN_PHAM!$L$5:$L$26,MATCH($G135,SAN_PHAM!$A$5:$A$26,0))&amp;"?sub_id=ChiGiang-"&amp;SUBSTITUTE($A135,"-","")&amp;"-FBReels-SP"&amp;TEXT($G135,"00"),""))</f>
        <v/>
      </c>
      <c r="J135" s="8">
        <f>IF($G135="","",IFERROR(INDEX(SAN_PHAM!$N$5:$N$26,MATCH($G135,SAN_PHAM!$A$5:$A$26,0)),""))</f>
        <v/>
      </c>
      <c r="K135" s="7" t="n"/>
      <c r="L135" s="7" t="n"/>
      <c r="M135" s="26" t="n"/>
      <c r="N135" s="42" t="n"/>
      <c r="O135" s="26" t="n"/>
      <c r="P135" s="7" t="n"/>
      <c r="Q135" s="43" t="n"/>
      <c r="R135" s="43" t="n"/>
      <c r="S135" s="43" t="n"/>
      <c r="T135" s="7" t="n"/>
    </row>
    <row r="136">
      <c r="A136" s="26" t="n"/>
      <c r="B136" s="26" t="n"/>
      <c r="C136" s="7" t="n"/>
      <c r="D136" s="7" t="n"/>
      <c r="E136" s="7" t="n"/>
      <c r="F136" s="7" t="n"/>
      <c r="G136" s="26" t="n"/>
      <c r="H136" s="8">
        <f>IF($G136="","",IFERROR(INDEX(SAN_PHAM!$D$5:$D$26,MATCH($G136,SAN_PHAM!$A$5:$A$26,0)),"Sai mã SP"))</f>
        <v/>
      </c>
      <c r="I136" s="8">
        <f>IF(OR($G136="",$A136=""),"",IFERROR(INDEX(SAN_PHAM!$L$5:$L$26,MATCH($G136,SAN_PHAM!$A$5:$A$26,0))&amp;"?sub_id=ChiGiang-"&amp;SUBSTITUTE($A136,"-","")&amp;"-FBReels-SP"&amp;TEXT($G136,"00"),""))</f>
        <v/>
      </c>
      <c r="J136" s="8">
        <f>IF($G136="","",IFERROR(INDEX(SAN_PHAM!$N$5:$N$26,MATCH($G136,SAN_PHAM!$A$5:$A$26,0)),""))</f>
        <v/>
      </c>
      <c r="K136" s="7" t="n"/>
      <c r="L136" s="7" t="n"/>
      <c r="M136" s="26" t="n"/>
      <c r="N136" s="42" t="n"/>
      <c r="O136" s="26" t="n"/>
      <c r="P136" s="7" t="n"/>
      <c r="Q136" s="43" t="n"/>
      <c r="R136" s="43" t="n"/>
      <c r="S136" s="43" t="n"/>
      <c r="T136" s="7" t="n"/>
    </row>
    <row r="137">
      <c r="A137" s="26" t="n"/>
      <c r="B137" s="26" t="n"/>
      <c r="C137" s="7" t="n"/>
      <c r="D137" s="7" t="n"/>
      <c r="E137" s="7" t="n"/>
      <c r="F137" s="7" t="n"/>
      <c r="G137" s="26" t="n"/>
      <c r="H137" s="8">
        <f>IF($G137="","",IFERROR(INDEX(SAN_PHAM!$D$5:$D$26,MATCH($G137,SAN_PHAM!$A$5:$A$26,0)),"Sai mã SP"))</f>
        <v/>
      </c>
      <c r="I137" s="8">
        <f>IF(OR($G137="",$A137=""),"",IFERROR(INDEX(SAN_PHAM!$L$5:$L$26,MATCH($G137,SAN_PHAM!$A$5:$A$26,0))&amp;"?sub_id=ChiGiang-"&amp;SUBSTITUTE($A137,"-","")&amp;"-FBReels-SP"&amp;TEXT($G137,"00"),""))</f>
        <v/>
      </c>
      <c r="J137" s="8">
        <f>IF($G137="","",IFERROR(INDEX(SAN_PHAM!$N$5:$N$26,MATCH($G137,SAN_PHAM!$A$5:$A$26,0)),""))</f>
        <v/>
      </c>
      <c r="K137" s="7" t="n"/>
      <c r="L137" s="7" t="n"/>
      <c r="M137" s="26" t="n"/>
      <c r="N137" s="42" t="n"/>
      <c r="O137" s="26" t="n"/>
      <c r="P137" s="7" t="n"/>
      <c r="Q137" s="43" t="n"/>
      <c r="R137" s="43" t="n"/>
      <c r="S137" s="43" t="n"/>
      <c r="T137" s="7" t="n"/>
    </row>
    <row r="138">
      <c r="A138" s="26" t="n"/>
      <c r="B138" s="26" t="n"/>
      <c r="C138" s="7" t="n"/>
      <c r="D138" s="7" t="n"/>
      <c r="E138" s="7" t="n"/>
      <c r="F138" s="7" t="n"/>
      <c r="G138" s="26" t="n"/>
      <c r="H138" s="8">
        <f>IF($G138="","",IFERROR(INDEX(SAN_PHAM!$D$5:$D$26,MATCH($G138,SAN_PHAM!$A$5:$A$26,0)),"Sai mã SP"))</f>
        <v/>
      </c>
      <c r="I138" s="8">
        <f>IF(OR($G138="",$A138=""),"",IFERROR(INDEX(SAN_PHAM!$L$5:$L$26,MATCH($G138,SAN_PHAM!$A$5:$A$26,0))&amp;"?sub_id=ChiGiang-"&amp;SUBSTITUTE($A138,"-","")&amp;"-FBReels-SP"&amp;TEXT($G138,"00"),""))</f>
        <v/>
      </c>
      <c r="J138" s="8">
        <f>IF($G138="","",IFERROR(INDEX(SAN_PHAM!$N$5:$N$26,MATCH($G138,SAN_PHAM!$A$5:$A$26,0)),""))</f>
        <v/>
      </c>
      <c r="K138" s="7" t="n"/>
      <c r="L138" s="7" t="n"/>
      <c r="M138" s="26" t="n"/>
      <c r="N138" s="42" t="n"/>
      <c r="O138" s="26" t="n"/>
      <c r="P138" s="7" t="n"/>
      <c r="Q138" s="43" t="n"/>
      <c r="R138" s="43" t="n"/>
      <c r="S138" s="43" t="n"/>
      <c r="T138" s="7" t="n"/>
    </row>
    <row r="139">
      <c r="A139" s="26" t="n"/>
      <c r="B139" s="26" t="n"/>
      <c r="C139" s="7" t="n"/>
      <c r="D139" s="7" t="n"/>
      <c r="E139" s="7" t="n"/>
      <c r="F139" s="7" t="n"/>
      <c r="G139" s="26" t="n"/>
      <c r="H139" s="8">
        <f>IF($G139="","",IFERROR(INDEX(SAN_PHAM!$D$5:$D$26,MATCH($G139,SAN_PHAM!$A$5:$A$26,0)),"Sai mã SP"))</f>
        <v/>
      </c>
      <c r="I139" s="8">
        <f>IF(OR($G139="",$A139=""),"",IFERROR(INDEX(SAN_PHAM!$L$5:$L$26,MATCH($G139,SAN_PHAM!$A$5:$A$26,0))&amp;"?sub_id=ChiGiang-"&amp;SUBSTITUTE($A139,"-","")&amp;"-FBReels-SP"&amp;TEXT($G139,"00"),""))</f>
        <v/>
      </c>
      <c r="J139" s="8">
        <f>IF($G139="","",IFERROR(INDEX(SAN_PHAM!$N$5:$N$26,MATCH($G139,SAN_PHAM!$A$5:$A$26,0)),""))</f>
        <v/>
      </c>
      <c r="K139" s="7" t="n"/>
      <c r="L139" s="7" t="n"/>
      <c r="M139" s="26" t="n"/>
      <c r="N139" s="42" t="n"/>
      <c r="O139" s="26" t="n"/>
      <c r="P139" s="7" t="n"/>
      <c r="Q139" s="43" t="n"/>
      <c r="R139" s="43" t="n"/>
      <c r="S139" s="43" t="n"/>
      <c r="T139" s="7" t="n"/>
    </row>
    <row r="140">
      <c r="A140" s="26" t="n"/>
      <c r="B140" s="26" t="n"/>
      <c r="C140" s="7" t="n"/>
      <c r="D140" s="7" t="n"/>
      <c r="E140" s="7" t="n"/>
      <c r="F140" s="7" t="n"/>
      <c r="G140" s="26" t="n"/>
      <c r="H140" s="8">
        <f>IF($G140="","",IFERROR(INDEX(SAN_PHAM!$D$5:$D$26,MATCH($G140,SAN_PHAM!$A$5:$A$26,0)),"Sai mã SP"))</f>
        <v/>
      </c>
      <c r="I140" s="8">
        <f>IF(OR($G140="",$A140=""),"",IFERROR(INDEX(SAN_PHAM!$L$5:$L$26,MATCH($G140,SAN_PHAM!$A$5:$A$26,0))&amp;"?sub_id=ChiGiang-"&amp;SUBSTITUTE($A140,"-","")&amp;"-FBReels-SP"&amp;TEXT($G140,"00"),""))</f>
        <v/>
      </c>
      <c r="J140" s="8">
        <f>IF($G140="","",IFERROR(INDEX(SAN_PHAM!$N$5:$N$26,MATCH($G140,SAN_PHAM!$A$5:$A$26,0)),""))</f>
        <v/>
      </c>
      <c r="K140" s="7" t="n"/>
      <c r="L140" s="7" t="n"/>
      <c r="M140" s="26" t="n"/>
      <c r="N140" s="42" t="n"/>
      <c r="O140" s="26" t="n"/>
      <c r="P140" s="7" t="n"/>
      <c r="Q140" s="43" t="n"/>
      <c r="R140" s="43" t="n"/>
      <c r="S140" s="43" t="n"/>
      <c r="T140" s="7" t="n"/>
    </row>
    <row r="141">
      <c r="A141" s="26" t="n"/>
      <c r="B141" s="26" t="n"/>
      <c r="C141" s="7" t="n"/>
      <c r="D141" s="7" t="n"/>
      <c r="E141" s="7" t="n"/>
      <c r="F141" s="7" t="n"/>
      <c r="G141" s="26" t="n"/>
      <c r="H141" s="8">
        <f>IF($G141="","",IFERROR(INDEX(SAN_PHAM!$D$5:$D$26,MATCH($G141,SAN_PHAM!$A$5:$A$26,0)),"Sai mã SP"))</f>
        <v/>
      </c>
      <c r="I141" s="8">
        <f>IF(OR($G141="",$A141=""),"",IFERROR(INDEX(SAN_PHAM!$L$5:$L$26,MATCH($G141,SAN_PHAM!$A$5:$A$26,0))&amp;"?sub_id=ChiGiang-"&amp;SUBSTITUTE($A141,"-","")&amp;"-FBReels-SP"&amp;TEXT($G141,"00"),""))</f>
        <v/>
      </c>
      <c r="J141" s="8">
        <f>IF($G141="","",IFERROR(INDEX(SAN_PHAM!$N$5:$N$26,MATCH($G141,SAN_PHAM!$A$5:$A$26,0)),""))</f>
        <v/>
      </c>
      <c r="K141" s="7" t="n"/>
      <c r="L141" s="7" t="n"/>
      <c r="M141" s="26" t="n"/>
      <c r="N141" s="42" t="n"/>
      <c r="O141" s="26" t="n"/>
      <c r="P141" s="7" t="n"/>
      <c r="Q141" s="43" t="n"/>
      <c r="R141" s="43" t="n"/>
      <c r="S141" s="43" t="n"/>
      <c r="T141" s="7" t="n"/>
    </row>
    <row r="142">
      <c r="A142" s="26" t="n"/>
      <c r="B142" s="26" t="n"/>
      <c r="C142" s="7" t="n"/>
      <c r="D142" s="7" t="n"/>
      <c r="E142" s="7" t="n"/>
      <c r="F142" s="7" t="n"/>
      <c r="G142" s="26" t="n"/>
      <c r="H142" s="8">
        <f>IF($G142="","",IFERROR(INDEX(SAN_PHAM!$D$5:$D$26,MATCH($G142,SAN_PHAM!$A$5:$A$26,0)),"Sai mã SP"))</f>
        <v/>
      </c>
      <c r="I142" s="8">
        <f>IF(OR($G142="",$A142=""),"",IFERROR(INDEX(SAN_PHAM!$L$5:$L$26,MATCH($G142,SAN_PHAM!$A$5:$A$26,0))&amp;"?sub_id=ChiGiang-"&amp;SUBSTITUTE($A142,"-","")&amp;"-FBReels-SP"&amp;TEXT($G142,"00"),""))</f>
        <v/>
      </c>
      <c r="J142" s="8">
        <f>IF($G142="","",IFERROR(INDEX(SAN_PHAM!$N$5:$N$26,MATCH($G142,SAN_PHAM!$A$5:$A$26,0)),""))</f>
        <v/>
      </c>
      <c r="K142" s="7" t="n"/>
      <c r="L142" s="7" t="n"/>
      <c r="M142" s="26" t="n"/>
      <c r="N142" s="42" t="n"/>
      <c r="O142" s="26" t="n"/>
      <c r="P142" s="7" t="n"/>
      <c r="Q142" s="43" t="n"/>
      <c r="R142" s="43" t="n"/>
      <c r="S142" s="43" t="n"/>
      <c r="T142" s="7" t="n"/>
    </row>
    <row r="143">
      <c r="A143" s="26" t="n"/>
      <c r="B143" s="26" t="n"/>
      <c r="C143" s="7" t="n"/>
      <c r="D143" s="7" t="n"/>
      <c r="E143" s="7" t="n"/>
      <c r="F143" s="7" t="n"/>
      <c r="G143" s="26" t="n"/>
      <c r="H143" s="8">
        <f>IF($G143="","",IFERROR(INDEX(SAN_PHAM!$D$5:$D$26,MATCH($G143,SAN_PHAM!$A$5:$A$26,0)),"Sai mã SP"))</f>
        <v/>
      </c>
      <c r="I143" s="8">
        <f>IF(OR($G143="",$A143=""),"",IFERROR(INDEX(SAN_PHAM!$L$5:$L$26,MATCH($G143,SAN_PHAM!$A$5:$A$26,0))&amp;"?sub_id=ChiGiang-"&amp;SUBSTITUTE($A143,"-","")&amp;"-FBReels-SP"&amp;TEXT($G143,"00"),""))</f>
        <v/>
      </c>
      <c r="J143" s="8">
        <f>IF($G143="","",IFERROR(INDEX(SAN_PHAM!$N$5:$N$26,MATCH($G143,SAN_PHAM!$A$5:$A$26,0)),""))</f>
        <v/>
      </c>
      <c r="K143" s="7" t="n"/>
      <c r="L143" s="7" t="n"/>
      <c r="M143" s="26" t="n"/>
      <c r="N143" s="42" t="n"/>
      <c r="O143" s="26" t="n"/>
      <c r="P143" s="7" t="n"/>
      <c r="Q143" s="43" t="n"/>
      <c r="R143" s="43" t="n"/>
      <c r="S143" s="43" t="n"/>
      <c r="T143" s="7" t="n"/>
    </row>
    <row r="144">
      <c r="A144" s="26" t="n"/>
      <c r="B144" s="26" t="n"/>
      <c r="C144" s="7" t="n"/>
      <c r="D144" s="7" t="n"/>
      <c r="E144" s="7" t="n"/>
      <c r="F144" s="7" t="n"/>
      <c r="G144" s="26" t="n"/>
      <c r="H144" s="8">
        <f>IF($G144="","",IFERROR(INDEX(SAN_PHAM!$D$5:$D$26,MATCH($G144,SAN_PHAM!$A$5:$A$26,0)),"Sai mã SP"))</f>
        <v/>
      </c>
      <c r="I144" s="8">
        <f>IF(OR($G144="",$A144=""),"",IFERROR(INDEX(SAN_PHAM!$L$5:$L$26,MATCH($G144,SAN_PHAM!$A$5:$A$26,0))&amp;"?sub_id=ChiGiang-"&amp;SUBSTITUTE($A144,"-","")&amp;"-FBReels-SP"&amp;TEXT($G144,"00"),""))</f>
        <v/>
      </c>
      <c r="J144" s="8">
        <f>IF($G144="","",IFERROR(INDEX(SAN_PHAM!$N$5:$N$26,MATCH($G144,SAN_PHAM!$A$5:$A$26,0)),""))</f>
        <v/>
      </c>
      <c r="K144" s="7" t="n"/>
      <c r="L144" s="7" t="n"/>
      <c r="M144" s="26" t="n"/>
      <c r="N144" s="42" t="n"/>
      <c r="O144" s="26" t="n"/>
      <c r="P144" s="7" t="n"/>
      <c r="Q144" s="43" t="n"/>
      <c r="R144" s="43" t="n"/>
      <c r="S144" s="43" t="n"/>
      <c r="T144" s="7" t="n"/>
    </row>
    <row r="145">
      <c r="A145" s="26" t="n"/>
      <c r="B145" s="26" t="n"/>
      <c r="C145" s="7" t="n"/>
      <c r="D145" s="7" t="n"/>
      <c r="E145" s="7" t="n"/>
      <c r="F145" s="7" t="n"/>
      <c r="G145" s="26" t="n"/>
      <c r="H145" s="8">
        <f>IF($G145="","",IFERROR(INDEX(SAN_PHAM!$D$5:$D$26,MATCH($G145,SAN_PHAM!$A$5:$A$26,0)),"Sai mã SP"))</f>
        <v/>
      </c>
      <c r="I145" s="8">
        <f>IF(OR($G145="",$A145=""),"",IFERROR(INDEX(SAN_PHAM!$L$5:$L$26,MATCH($G145,SAN_PHAM!$A$5:$A$26,0))&amp;"?sub_id=ChiGiang-"&amp;SUBSTITUTE($A145,"-","")&amp;"-FBReels-SP"&amp;TEXT($G145,"00"),""))</f>
        <v/>
      </c>
      <c r="J145" s="8">
        <f>IF($G145="","",IFERROR(INDEX(SAN_PHAM!$N$5:$N$26,MATCH($G145,SAN_PHAM!$A$5:$A$26,0)),""))</f>
        <v/>
      </c>
      <c r="K145" s="7" t="n"/>
      <c r="L145" s="7" t="n"/>
      <c r="M145" s="26" t="n"/>
      <c r="N145" s="42" t="n"/>
      <c r="O145" s="26" t="n"/>
      <c r="P145" s="7" t="n"/>
      <c r="Q145" s="43" t="n"/>
      <c r="R145" s="43" t="n"/>
      <c r="S145" s="43" t="n"/>
      <c r="T145" s="7" t="n"/>
    </row>
    <row r="146">
      <c r="A146" s="26" t="n"/>
      <c r="B146" s="26" t="n"/>
      <c r="C146" s="7" t="n"/>
      <c r="D146" s="7" t="n"/>
      <c r="E146" s="7" t="n"/>
      <c r="F146" s="7" t="n"/>
      <c r="G146" s="26" t="n"/>
      <c r="H146" s="8">
        <f>IF($G146="","",IFERROR(INDEX(SAN_PHAM!$D$5:$D$26,MATCH($G146,SAN_PHAM!$A$5:$A$26,0)),"Sai mã SP"))</f>
        <v/>
      </c>
      <c r="I146" s="8">
        <f>IF(OR($G146="",$A146=""),"",IFERROR(INDEX(SAN_PHAM!$L$5:$L$26,MATCH($G146,SAN_PHAM!$A$5:$A$26,0))&amp;"?sub_id=ChiGiang-"&amp;SUBSTITUTE($A146,"-","")&amp;"-FBReels-SP"&amp;TEXT($G146,"00"),""))</f>
        <v/>
      </c>
      <c r="J146" s="8">
        <f>IF($G146="","",IFERROR(INDEX(SAN_PHAM!$N$5:$N$26,MATCH($G146,SAN_PHAM!$A$5:$A$26,0)),""))</f>
        <v/>
      </c>
      <c r="K146" s="7" t="n"/>
      <c r="L146" s="7" t="n"/>
      <c r="M146" s="26" t="n"/>
      <c r="N146" s="42" t="n"/>
      <c r="O146" s="26" t="n"/>
      <c r="P146" s="7" t="n"/>
      <c r="Q146" s="43" t="n"/>
      <c r="R146" s="43" t="n"/>
      <c r="S146" s="43" t="n"/>
      <c r="T146" s="7" t="n"/>
    </row>
    <row r="147">
      <c r="A147" s="26" t="n"/>
      <c r="B147" s="26" t="n"/>
      <c r="C147" s="7" t="n"/>
      <c r="D147" s="7" t="n"/>
      <c r="E147" s="7" t="n"/>
      <c r="F147" s="7" t="n"/>
      <c r="G147" s="26" t="n"/>
      <c r="H147" s="8">
        <f>IF($G147="","",IFERROR(INDEX(SAN_PHAM!$D$5:$D$26,MATCH($G147,SAN_PHAM!$A$5:$A$26,0)),"Sai mã SP"))</f>
        <v/>
      </c>
      <c r="I147" s="8">
        <f>IF(OR($G147="",$A147=""),"",IFERROR(INDEX(SAN_PHAM!$L$5:$L$26,MATCH($G147,SAN_PHAM!$A$5:$A$26,0))&amp;"?sub_id=ChiGiang-"&amp;SUBSTITUTE($A147,"-","")&amp;"-FBReels-SP"&amp;TEXT($G147,"00"),""))</f>
        <v/>
      </c>
      <c r="J147" s="8">
        <f>IF($G147="","",IFERROR(INDEX(SAN_PHAM!$N$5:$N$26,MATCH($G147,SAN_PHAM!$A$5:$A$26,0)),""))</f>
        <v/>
      </c>
      <c r="K147" s="7" t="n"/>
      <c r="L147" s="7" t="n"/>
      <c r="M147" s="26" t="n"/>
      <c r="N147" s="42" t="n"/>
      <c r="O147" s="26" t="n"/>
      <c r="P147" s="7" t="n"/>
      <c r="Q147" s="43" t="n"/>
      <c r="R147" s="43" t="n"/>
      <c r="S147" s="43" t="n"/>
      <c r="T147" s="7" t="n"/>
    </row>
    <row r="148">
      <c r="A148" s="26" t="n"/>
      <c r="B148" s="26" t="n"/>
      <c r="C148" s="7" t="n"/>
      <c r="D148" s="7" t="n"/>
      <c r="E148" s="7" t="n"/>
      <c r="F148" s="7" t="n"/>
      <c r="G148" s="26" t="n"/>
      <c r="H148" s="8">
        <f>IF($G148="","",IFERROR(INDEX(SAN_PHAM!$D$5:$D$26,MATCH($G148,SAN_PHAM!$A$5:$A$26,0)),"Sai mã SP"))</f>
        <v/>
      </c>
      <c r="I148" s="8">
        <f>IF(OR($G148="",$A148=""),"",IFERROR(INDEX(SAN_PHAM!$L$5:$L$26,MATCH($G148,SAN_PHAM!$A$5:$A$26,0))&amp;"?sub_id=ChiGiang-"&amp;SUBSTITUTE($A148,"-","")&amp;"-FBReels-SP"&amp;TEXT($G148,"00"),""))</f>
        <v/>
      </c>
      <c r="J148" s="8">
        <f>IF($G148="","",IFERROR(INDEX(SAN_PHAM!$N$5:$N$26,MATCH($G148,SAN_PHAM!$A$5:$A$26,0)),""))</f>
        <v/>
      </c>
      <c r="K148" s="7" t="n"/>
      <c r="L148" s="7" t="n"/>
      <c r="M148" s="26" t="n"/>
      <c r="N148" s="42" t="n"/>
      <c r="O148" s="26" t="n"/>
      <c r="P148" s="7" t="n"/>
      <c r="Q148" s="43" t="n"/>
      <c r="R148" s="43" t="n"/>
      <c r="S148" s="43" t="n"/>
      <c r="T148" s="7" t="n"/>
    </row>
    <row r="149">
      <c r="A149" s="26" t="n"/>
      <c r="B149" s="26" t="n"/>
      <c r="C149" s="7" t="n"/>
      <c r="D149" s="7" t="n"/>
      <c r="E149" s="7" t="n"/>
      <c r="F149" s="7" t="n"/>
      <c r="G149" s="26" t="n"/>
      <c r="H149" s="8">
        <f>IF($G149="","",IFERROR(INDEX(SAN_PHAM!$D$5:$D$26,MATCH($G149,SAN_PHAM!$A$5:$A$26,0)),"Sai mã SP"))</f>
        <v/>
      </c>
      <c r="I149" s="8">
        <f>IF(OR($G149="",$A149=""),"",IFERROR(INDEX(SAN_PHAM!$L$5:$L$26,MATCH($G149,SAN_PHAM!$A$5:$A$26,0))&amp;"?sub_id=ChiGiang-"&amp;SUBSTITUTE($A149,"-","")&amp;"-FBReels-SP"&amp;TEXT($G149,"00"),""))</f>
        <v/>
      </c>
      <c r="J149" s="8">
        <f>IF($G149="","",IFERROR(INDEX(SAN_PHAM!$N$5:$N$26,MATCH($G149,SAN_PHAM!$A$5:$A$26,0)),""))</f>
        <v/>
      </c>
      <c r="K149" s="7" t="n"/>
      <c r="L149" s="7" t="n"/>
      <c r="M149" s="26" t="n"/>
      <c r="N149" s="42" t="n"/>
      <c r="O149" s="26" t="n"/>
      <c r="P149" s="7" t="n"/>
      <c r="Q149" s="43" t="n"/>
      <c r="R149" s="43" t="n"/>
      <c r="S149" s="43" t="n"/>
      <c r="T149" s="7" t="n"/>
    </row>
    <row r="150">
      <c r="A150" s="26" t="n"/>
      <c r="B150" s="26" t="n"/>
      <c r="C150" s="7" t="n"/>
      <c r="D150" s="7" t="n"/>
      <c r="E150" s="7" t="n"/>
      <c r="F150" s="7" t="n"/>
      <c r="G150" s="26" t="n"/>
      <c r="H150" s="8">
        <f>IF($G150="","",IFERROR(INDEX(SAN_PHAM!$D$5:$D$26,MATCH($G150,SAN_PHAM!$A$5:$A$26,0)),"Sai mã SP"))</f>
        <v/>
      </c>
      <c r="I150" s="8">
        <f>IF(OR($G150="",$A150=""),"",IFERROR(INDEX(SAN_PHAM!$L$5:$L$26,MATCH($G150,SAN_PHAM!$A$5:$A$26,0))&amp;"?sub_id=ChiGiang-"&amp;SUBSTITUTE($A150,"-","")&amp;"-FBReels-SP"&amp;TEXT($G150,"00"),""))</f>
        <v/>
      </c>
      <c r="J150" s="8">
        <f>IF($G150="","",IFERROR(INDEX(SAN_PHAM!$N$5:$N$26,MATCH($G150,SAN_PHAM!$A$5:$A$26,0)),""))</f>
        <v/>
      </c>
      <c r="K150" s="7" t="n"/>
      <c r="L150" s="7" t="n"/>
      <c r="M150" s="26" t="n"/>
      <c r="N150" s="42" t="n"/>
      <c r="O150" s="26" t="n"/>
      <c r="P150" s="7" t="n"/>
      <c r="Q150" s="43" t="n"/>
      <c r="R150" s="43" t="n"/>
      <c r="S150" s="43" t="n"/>
      <c r="T150" s="7" t="n"/>
    </row>
    <row r="151">
      <c r="A151" s="26" t="n"/>
      <c r="B151" s="26" t="n"/>
      <c r="C151" s="7" t="n"/>
      <c r="D151" s="7" t="n"/>
      <c r="E151" s="7" t="n"/>
      <c r="F151" s="7" t="n"/>
      <c r="G151" s="26" t="n"/>
      <c r="H151" s="8">
        <f>IF($G151="","",IFERROR(INDEX(SAN_PHAM!$D$5:$D$26,MATCH($G151,SAN_PHAM!$A$5:$A$26,0)),"Sai mã SP"))</f>
        <v/>
      </c>
      <c r="I151" s="8">
        <f>IF(OR($G151="",$A151=""),"",IFERROR(INDEX(SAN_PHAM!$L$5:$L$26,MATCH($G151,SAN_PHAM!$A$5:$A$26,0))&amp;"?sub_id=ChiGiang-"&amp;SUBSTITUTE($A151,"-","")&amp;"-FBReels-SP"&amp;TEXT($G151,"00"),""))</f>
        <v/>
      </c>
      <c r="J151" s="8">
        <f>IF($G151="","",IFERROR(INDEX(SAN_PHAM!$N$5:$N$26,MATCH($G151,SAN_PHAM!$A$5:$A$26,0)),""))</f>
        <v/>
      </c>
      <c r="K151" s="7" t="n"/>
      <c r="L151" s="7" t="n"/>
      <c r="M151" s="26" t="n"/>
      <c r="N151" s="42" t="n"/>
      <c r="O151" s="26" t="n"/>
      <c r="P151" s="7" t="n"/>
      <c r="Q151" s="43" t="n"/>
      <c r="R151" s="43" t="n"/>
      <c r="S151" s="43" t="n"/>
      <c r="T151" s="7" t="n"/>
    </row>
    <row r="152">
      <c r="A152" s="26" t="n"/>
      <c r="B152" s="26" t="n"/>
      <c r="C152" s="7" t="n"/>
      <c r="D152" s="7" t="n"/>
      <c r="E152" s="7" t="n"/>
      <c r="F152" s="7" t="n"/>
      <c r="G152" s="26" t="n"/>
      <c r="H152" s="8">
        <f>IF($G152="","",IFERROR(INDEX(SAN_PHAM!$D$5:$D$26,MATCH($G152,SAN_PHAM!$A$5:$A$26,0)),"Sai mã SP"))</f>
        <v/>
      </c>
      <c r="I152" s="8">
        <f>IF(OR($G152="",$A152=""),"",IFERROR(INDEX(SAN_PHAM!$L$5:$L$26,MATCH($G152,SAN_PHAM!$A$5:$A$26,0))&amp;"?sub_id=ChiGiang-"&amp;SUBSTITUTE($A152,"-","")&amp;"-FBReels-SP"&amp;TEXT($G152,"00"),""))</f>
        <v/>
      </c>
      <c r="J152" s="8">
        <f>IF($G152="","",IFERROR(INDEX(SAN_PHAM!$N$5:$N$26,MATCH($G152,SAN_PHAM!$A$5:$A$26,0)),""))</f>
        <v/>
      </c>
      <c r="K152" s="7" t="n"/>
      <c r="L152" s="7" t="n"/>
      <c r="M152" s="26" t="n"/>
      <c r="N152" s="42" t="n"/>
      <c r="O152" s="26" t="n"/>
      <c r="P152" s="7" t="n"/>
      <c r="Q152" s="43" t="n"/>
      <c r="R152" s="43" t="n"/>
      <c r="S152" s="43" t="n"/>
      <c r="T152" s="7" t="n"/>
    </row>
    <row r="153">
      <c r="A153" s="26" t="n"/>
      <c r="B153" s="26" t="n"/>
      <c r="C153" s="7" t="n"/>
      <c r="D153" s="7" t="n"/>
      <c r="E153" s="7" t="n"/>
      <c r="F153" s="7" t="n"/>
      <c r="G153" s="26" t="n"/>
      <c r="H153" s="8">
        <f>IF($G153="","",IFERROR(INDEX(SAN_PHAM!$D$5:$D$26,MATCH($G153,SAN_PHAM!$A$5:$A$26,0)),"Sai mã SP"))</f>
        <v/>
      </c>
      <c r="I153" s="8">
        <f>IF(OR($G153="",$A153=""),"",IFERROR(INDEX(SAN_PHAM!$L$5:$L$26,MATCH($G153,SAN_PHAM!$A$5:$A$26,0))&amp;"?sub_id=ChiGiang-"&amp;SUBSTITUTE($A153,"-","")&amp;"-FBReels-SP"&amp;TEXT($G153,"00"),""))</f>
        <v/>
      </c>
      <c r="J153" s="8">
        <f>IF($G153="","",IFERROR(INDEX(SAN_PHAM!$N$5:$N$26,MATCH($G153,SAN_PHAM!$A$5:$A$26,0)),""))</f>
        <v/>
      </c>
      <c r="K153" s="7" t="n"/>
      <c r="L153" s="7" t="n"/>
      <c r="M153" s="26" t="n"/>
      <c r="N153" s="42" t="n"/>
      <c r="O153" s="26" t="n"/>
      <c r="P153" s="7" t="n"/>
      <c r="Q153" s="43" t="n"/>
      <c r="R153" s="43" t="n"/>
      <c r="S153" s="43" t="n"/>
      <c r="T153" s="7" t="n"/>
    </row>
    <row r="154">
      <c r="A154" s="26" t="n"/>
      <c r="B154" s="26" t="n"/>
      <c r="C154" s="7" t="n"/>
      <c r="D154" s="7" t="n"/>
      <c r="E154" s="7" t="n"/>
      <c r="F154" s="7" t="n"/>
      <c r="G154" s="26" t="n"/>
      <c r="H154" s="8">
        <f>IF($G154="","",IFERROR(INDEX(SAN_PHAM!$D$5:$D$26,MATCH($G154,SAN_PHAM!$A$5:$A$26,0)),"Sai mã SP"))</f>
        <v/>
      </c>
      <c r="I154" s="8">
        <f>IF(OR($G154="",$A154=""),"",IFERROR(INDEX(SAN_PHAM!$L$5:$L$26,MATCH($G154,SAN_PHAM!$A$5:$A$26,0))&amp;"?sub_id=ChiGiang-"&amp;SUBSTITUTE($A154,"-","")&amp;"-FBReels-SP"&amp;TEXT($G154,"00"),""))</f>
        <v/>
      </c>
      <c r="J154" s="8">
        <f>IF($G154="","",IFERROR(INDEX(SAN_PHAM!$N$5:$N$26,MATCH($G154,SAN_PHAM!$A$5:$A$26,0)),""))</f>
        <v/>
      </c>
      <c r="K154" s="7" t="n"/>
      <c r="L154" s="7" t="n"/>
      <c r="M154" s="26" t="n"/>
      <c r="N154" s="42" t="n"/>
      <c r="O154" s="26" t="n"/>
      <c r="P154" s="7" t="n"/>
      <c r="Q154" s="43" t="n"/>
      <c r="R154" s="43" t="n"/>
      <c r="S154" s="43" t="n"/>
      <c r="T154" s="7" t="n"/>
    </row>
    <row r="155">
      <c r="A155" s="26" t="n"/>
      <c r="B155" s="26" t="n"/>
      <c r="C155" s="7" t="n"/>
      <c r="D155" s="7" t="n"/>
      <c r="E155" s="7" t="n"/>
      <c r="F155" s="7" t="n"/>
      <c r="G155" s="26" t="n"/>
      <c r="H155" s="8">
        <f>IF($G155="","",IFERROR(INDEX(SAN_PHAM!$D$5:$D$26,MATCH($G155,SAN_PHAM!$A$5:$A$26,0)),"Sai mã SP"))</f>
        <v/>
      </c>
      <c r="I155" s="8">
        <f>IF(OR($G155="",$A155=""),"",IFERROR(INDEX(SAN_PHAM!$L$5:$L$26,MATCH($G155,SAN_PHAM!$A$5:$A$26,0))&amp;"?sub_id=ChiGiang-"&amp;SUBSTITUTE($A155,"-","")&amp;"-FBReels-SP"&amp;TEXT($G155,"00"),""))</f>
        <v/>
      </c>
      <c r="J155" s="8">
        <f>IF($G155="","",IFERROR(INDEX(SAN_PHAM!$N$5:$N$26,MATCH($G155,SAN_PHAM!$A$5:$A$26,0)),""))</f>
        <v/>
      </c>
      <c r="K155" s="7" t="n"/>
      <c r="L155" s="7" t="n"/>
      <c r="M155" s="26" t="n"/>
      <c r="N155" s="42" t="n"/>
      <c r="O155" s="26" t="n"/>
      <c r="P155" s="7" t="n"/>
      <c r="Q155" s="43" t="n"/>
      <c r="R155" s="43" t="n"/>
      <c r="S155" s="43" t="n"/>
      <c r="T155" s="7" t="n"/>
    </row>
    <row r="156">
      <c r="A156" s="26" t="n"/>
      <c r="B156" s="26" t="n"/>
      <c r="C156" s="7" t="n"/>
      <c r="D156" s="7" t="n"/>
      <c r="E156" s="7" t="n"/>
      <c r="F156" s="7" t="n"/>
      <c r="G156" s="26" t="n"/>
      <c r="H156" s="8">
        <f>IF($G156="","",IFERROR(INDEX(SAN_PHAM!$D$5:$D$26,MATCH($G156,SAN_PHAM!$A$5:$A$26,0)),"Sai mã SP"))</f>
        <v/>
      </c>
      <c r="I156" s="8">
        <f>IF(OR($G156="",$A156=""),"",IFERROR(INDEX(SAN_PHAM!$L$5:$L$26,MATCH($G156,SAN_PHAM!$A$5:$A$26,0))&amp;"?sub_id=ChiGiang-"&amp;SUBSTITUTE($A156,"-","")&amp;"-FBReels-SP"&amp;TEXT($G156,"00"),""))</f>
        <v/>
      </c>
      <c r="J156" s="8">
        <f>IF($G156="","",IFERROR(INDEX(SAN_PHAM!$N$5:$N$26,MATCH($G156,SAN_PHAM!$A$5:$A$26,0)),""))</f>
        <v/>
      </c>
      <c r="K156" s="7" t="n"/>
      <c r="L156" s="7" t="n"/>
      <c r="M156" s="26" t="n"/>
      <c r="N156" s="42" t="n"/>
      <c r="O156" s="26" t="n"/>
      <c r="P156" s="7" t="n"/>
      <c r="Q156" s="43" t="n"/>
      <c r="R156" s="43" t="n"/>
      <c r="S156" s="43" t="n"/>
      <c r="T156" s="7" t="n"/>
    </row>
    <row r="157">
      <c r="A157" s="26" t="n"/>
      <c r="B157" s="26" t="n"/>
      <c r="C157" s="7" t="n"/>
      <c r="D157" s="7" t="n"/>
      <c r="E157" s="7" t="n"/>
      <c r="F157" s="7" t="n"/>
      <c r="G157" s="26" t="n"/>
      <c r="H157" s="8">
        <f>IF($G157="","",IFERROR(INDEX(SAN_PHAM!$D$5:$D$26,MATCH($G157,SAN_PHAM!$A$5:$A$26,0)),"Sai mã SP"))</f>
        <v/>
      </c>
      <c r="I157" s="8">
        <f>IF(OR($G157="",$A157=""),"",IFERROR(INDEX(SAN_PHAM!$L$5:$L$26,MATCH($G157,SAN_PHAM!$A$5:$A$26,0))&amp;"?sub_id=ChiGiang-"&amp;SUBSTITUTE($A157,"-","")&amp;"-FBReels-SP"&amp;TEXT($G157,"00"),""))</f>
        <v/>
      </c>
      <c r="J157" s="8">
        <f>IF($G157="","",IFERROR(INDEX(SAN_PHAM!$N$5:$N$26,MATCH($G157,SAN_PHAM!$A$5:$A$26,0)),""))</f>
        <v/>
      </c>
      <c r="K157" s="7" t="n"/>
      <c r="L157" s="7" t="n"/>
      <c r="M157" s="26" t="n"/>
      <c r="N157" s="42" t="n"/>
      <c r="O157" s="26" t="n"/>
      <c r="P157" s="7" t="n"/>
      <c r="Q157" s="43" t="n"/>
      <c r="R157" s="43" t="n"/>
      <c r="S157" s="43" t="n"/>
      <c r="T157" s="7" t="n"/>
    </row>
    <row r="158">
      <c r="A158" s="26" t="n"/>
      <c r="B158" s="26" t="n"/>
      <c r="C158" s="7" t="n"/>
      <c r="D158" s="7" t="n"/>
      <c r="E158" s="7" t="n"/>
      <c r="F158" s="7" t="n"/>
      <c r="G158" s="26" t="n"/>
      <c r="H158" s="8">
        <f>IF($G158="","",IFERROR(INDEX(SAN_PHAM!$D$5:$D$26,MATCH($G158,SAN_PHAM!$A$5:$A$26,0)),"Sai mã SP"))</f>
        <v/>
      </c>
      <c r="I158" s="8">
        <f>IF(OR($G158="",$A158=""),"",IFERROR(INDEX(SAN_PHAM!$L$5:$L$26,MATCH($G158,SAN_PHAM!$A$5:$A$26,0))&amp;"?sub_id=ChiGiang-"&amp;SUBSTITUTE($A158,"-","")&amp;"-FBReels-SP"&amp;TEXT($G158,"00"),""))</f>
        <v/>
      </c>
      <c r="J158" s="8">
        <f>IF($G158="","",IFERROR(INDEX(SAN_PHAM!$N$5:$N$26,MATCH($G158,SAN_PHAM!$A$5:$A$26,0)),""))</f>
        <v/>
      </c>
      <c r="K158" s="7" t="n"/>
      <c r="L158" s="7" t="n"/>
      <c r="M158" s="26" t="n"/>
      <c r="N158" s="42" t="n"/>
      <c r="O158" s="26" t="n"/>
      <c r="P158" s="7" t="n"/>
      <c r="Q158" s="43" t="n"/>
      <c r="R158" s="43" t="n"/>
      <c r="S158" s="43" t="n"/>
      <c r="T158" s="7" t="n"/>
    </row>
    <row r="159">
      <c r="A159" s="26" t="n"/>
      <c r="B159" s="26" t="n"/>
      <c r="C159" s="7" t="n"/>
      <c r="D159" s="7" t="n"/>
      <c r="E159" s="7" t="n"/>
      <c r="F159" s="7" t="n"/>
      <c r="G159" s="26" t="n"/>
      <c r="H159" s="8">
        <f>IF($G159="","",IFERROR(INDEX(SAN_PHAM!$D$5:$D$26,MATCH($G159,SAN_PHAM!$A$5:$A$26,0)),"Sai mã SP"))</f>
        <v/>
      </c>
      <c r="I159" s="8">
        <f>IF(OR($G159="",$A159=""),"",IFERROR(INDEX(SAN_PHAM!$L$5:$L$26,MATCH($G159,SAN_PHAM!$A$5:$A$26,0))&amp;"?sub_id=ChiGiang-"&amp;SUBSTITUTE($A159,"-","")&amp;"-FBReels-SP"&amp;TEXT($G159,"00"),""))</f>
        <v/>
      </c>
      <c r="J159" s="8">
        <f>IF($G159="","",IFERROR(INDEX(SAN_PHAM!$N$5:$N$26,MATCH($G159,SAN_PHAM!$A$5:$A$26,0)),""))</f>
        <v/>
      </c>
      <c r="K159" s="7" t="n"/>
      <c r="L159" s="7" t="n"/>
      <c r="M159" s="26" t="n"/>
      <c r="N159" s="42" t="n"/>
      <c r="O159" s="26" t="n"/>
      <c r="P159" s="7" t="n"/>
      <c r="Q159" s="43" t="n"/>
      <c r="R159" s="43" t="n"/>
      <c r="S159" s="43" t="n"/>
      <c r="T159" s="7" t="n"/>
    </row>
    <row r="160">
      <c r="A160" s="26" t="n"/>
      <c r="B160" s="26" t="n"/>
      <c r="C160" s="7" t="n"/>
      <c r="D160" s="7" t="n"/>
      <c r="E160" s="7" t="n"/>
      <c r="F160" s="7" t="n"/>
      <c r="G160" s="26" t="n"/>
      <c r="H160" s="8">
        <f>IF($G160="","",IFERROR(INDEX(SAN_PHAM!$D$5:$D$26,MATCH($G160,SAN_PHAM!$A$5:$A$26,0)),"Sai mã SP"))</f>
        <v/>
      </c>
      <c r="I160" s="8">
        <f>IF(OR($G160="",$A160=""),"",IFERROR(INDEX(SAN_PHAM!$L$5:$L$26,MATCH($G160,SAN_PHAM!$A$5:$A$26,0))&amp;"?sub_id=ChiGiang-"&amp;SUBSTITUTE($A160,"-","")&amp;"-FBReels-SP"&amp;TEXT($G160,"00"),""))</f>
        <v/>
      </c>
      <c r="J160" s="8">
        <f>IF($G160="","",IFERROR(INDEX(SAN_PHAM!$N$5:$N$26,MATCH($G160,SAN_PHAM!$A$5:$A$26,0)),""))</f>
        <v/>
      </c>
      <c r="K160" s="7" t="n"/>
      <c r="L160" s="7" t="n"/>
      <c r="M160" s="26" t="n"/>
      <c r="N160" s="42" t="n"/>
      <c r="O160" s="26" t="n"/>
      <c r="P160" s="7" t="n"/>
      <c r="Q160" s="43" t="n"/>
      <c r="R160" s="43" t="n"/>
      <c r="S160" s="43" t="n"/>
      <c r="T160" s="7" t="n"/>
    </row>
    <row r="161">
      <c r="A161" s="26" t="n"/>
      <c r="B161" s="26" t="n"/>
      <c r="C161" s="7" t="n"/>
      <c r="D161" s="7" t="n"/>
      <c r="E161" s="7" t="n"/>
      <c r="F161" s="7" t="n"/>
      <c r="G161" s="26" t="n"/>
      <c r="H161" s="8">
        <f>IF($G161="","",IFERROR(INDEX(SAN_PHAM!$D$5:$D$26,MATCH($G161,SAN_PHAM!$A$5:$A$26,0)),"Sai mã SP"))</f>
        <v/>
      </c>
      <c r="I161" s="8">
        <f>IF(OR($G161="",$A161=""),"",IFERROR(INDEX(SAN_PHAM!$L$5:$L$26,MATCH($G161,SAN_PHAM!$A$5:$A$26,0))&amp;"?sub_id=ChiGiang-"&amp;SUBSTITUTE($A161,"-","")&amp;"-FBReels-SP"&amp;TEXT($G161,"00"),""))</f>
        <v/>
      </c>
      <c r="J161" s="8">
        <f>IF($G161="","",IFERROR(INDEX(SAN_PHAM!$N$5:$N$26,MATCH($G161,SAN_PHAM!$A$5:$A$26,0)),""))</f>
        <v/>
      </c>
      <c r="K161" s="7" t="n"/>
      <c r="L161" s="7" t="n"/>
      <c r="M161" s="26" t="n"/>
      <c r="N161" s="42" t="n"/>
      <c r="O161" s="26" t="n"/>
      <c r="P161" s="7" t="n"/>
      <c r="Q161" s="43" t="n"/>
      <c r="R161" s="43" t="n"/>
      <c r="S161" s="43" t="n"/>
      <c r="T161" s="7" t="n"/>
    </row>
    <row r="162">
      <c r="A162" s="26" t="n"/>
      <c r="B162" s="26" t="n"/>
      <c r="C162" s="7" t="n"/>
      <c r="D162" s="7" t="n"/>
      <c r="E162" s="7" t="n"/>
      <c r="F162" s="7" t="n"/>
      <c r="G162" s="26" t="n"/>
      <c r="H162" s="8">
        <f>IF($G162="","",IFERROR(INDEX(SAN_PHAM!$D$5:$D$26,MATCH($G162,SAN_PHAM!$A$5:$A$26,0)),"Sai mã SP"))</f>
        <v/>
      </c>
      <c r="I162" s="8">
        <f>IF(OR($G162="",$A162=""),"",IFERROR(INDEX(SAN_PHAM!$L$5:$L$26,MATCH($G162,SAN_PHAM!$A$5:$A$26,0))&amp;"?sub_id=ChiGiang-"&amp;SUBSTITUTE($A162,"-","")&amp;"-FBReels-SP"&amp;TEXT($G162,"00"),""))</f>
        <v/>
      </c>
      <c r="J162" s="8">
        <f>IF($G162="","",IFERROR(INDEX(SAN_PHAM!$N$5:$N$26,MATCH($G162,SAN_PHAM!$A$5:$A$26,0)),""))</f>
        <v/>
      </c>
      <c r="K162" s="7" t="n"/>
      <c r="L162" s="7" t="n"/>
      <c r="M162" s="26" t="n"/>
      <c r="N162" s="42" t="n"/>
      <c r="O162" s="26" t="n"/>
      <c r="P162" s="7" t="n"/>
      <c r="Q162" s="43" t="n"/>
      <c r="R162" s="43" t="n"/>
      <c r="S162" s="43" t="n"/>
      <c r="T162" s="7" t="n"/>
    </row>
    <row r="163">
      <c r="A163" s="26" t="n"/>
      <c r="B163" s="26" t="n"/>
      <c r="C163" s="7" t="n"/>
      <c r="D163" s="7" t="n"/>
      <c r="E163" s="7" t="n"/>
      <c r="F163" s="7" t="n"/>
      <c r="G163" s="26" t="n"/>
      <c r="H163" s="8">
        <f>IF($G163="","",IFERROR(INDEX(SAN_PHAM!$D$5:$D$26,MATCH($G163,SAN_PHAM!$A$5:$A$26,0)),"Sai mã SP"))</f>
        <v/>
      </c>
      <c r="I163" s="8">
        <f>IF(OR($G163="",$A163=""),"",IFERROR(INDEX(SAN_PHAM!$L$5:$L$26,MATCH($G163,SAN_PHAM!$A$5:$A$26,0))&amp;"?sub_id=ChiGiang-"&amp;SUBSTITUTE($A163,"-","")&amp;"-FBReels-SP"&amp;TEXT($G163,"00"),""))</f>
        <v/>
      </c>
      <c r="J163" s="8">
        <f>IF($G163="","",IFERROR(INDEX(SAN_PHAM!$N$5:$N$26,MATCH($G163,SAN_PHAM!$A$5:$A$26,0)),""))</f>
        <v/>
      </c>
      <c r="K163" s="7" t="n"/>
      <c r="L163" s="7" t="n"/>
      <c r="M163" s="26" t="n"/>
      <c r="N163" s="42" t="n"/>
      <c r="O163" s="26" t="n"/>
      <c r="P163" s="7" t="n"/>
      <c r="Q163" s="43" t="n"/>
      <c r="R163" s="43" t="n"/>
      <c r="S163" s="43" t="n"/>
      <c r="T163" s="7" t="n"/>
    </row>
    <row r="164">
      <c r="A164" s="26" t="n"/>
      <c r="B164" s="26" t="n"/>
      <c r="C164" s="7" t="n"/>
      <c r="D164" s="7" t="n"/>
      <c r="E164" s="7" t="n"/>
      <c r="F164" s="7" t="n"/>
      <c r="G164" s="26" t="n"/>
      <c r="H164" s="8">
        <f>IF($G164="","",IFERROR(INDEX(SAN_PHAM!$D$5:$D$26,MATCH($G164,SAN_PHAM!$A$5:$A$26,0)),"Sai mã SP"))</f>
        <v/>
      </c>
      <c r="I164" s="8">
        <f>IF(OR($G164="",$A164=""),"",IFERROR(INDEX(SAN_PHAM!$L$5:$L$26,MATCH($G164,SAN_PHAM!$A$5:$A$26,0))&amp;"?sub_id=ChiGiang-"&amp;SUBSTITUTE($A164,"-","")&amp;"-FBReels-SP"&amp;TEXT($G164,"00"),""))</f>
        <v/>
      </c>
      <c r="J164" s="8">
        <f>IF($G164="","",IFERROR(INDEX(SAN_PHAM!$N$5:$N$26,MATCH($G164,SAN_PHAM!$A$5:$A$26,0)),""))</f>
        <v/>
      </c>
      <c r="K164" s="7" t="n"/>
      <c r="L164" s="7" t="n"/>
      <c r="M164" s="26" t="n"/>
      <c r="N164" s="42" t="n"/>
      <c r="O164" s="26" t="n"/>
      <c r="P164" s="7" t="n"/>
      <c r="Q164" s="43" t="n"/>
      <c r="R164" s="43" t="n"/>
      <c r="S164" s="43" t="n"/>
      <c r="T164" s="7" t="n"/>
    </row>
    <row r="165">
      <c r="A165" s="26" t="n"/>
      <c r="B165" s="26" t="n"/>
      <c r="C165" s="7" t="n"/>
      <c r="D165" s="7" t="n"/>
      <c r="E165" s="7" t="n"/>
      <c r="F165" s="7" t="n"/>
      <c r="G165" s="26" t="n"/>
      <c r="H165" s="8">
        <f>IF($G165="","",IFERROR(INDEX(SAN_PHAM!$D$5:$D$26,MATCH($G165,SAN_PHAM!$A$5:$A$26,0)),"Sai mã SP"))</f>
        <v/>
      </c>
      <c r="I165" s="8">
        <f>IF(OR($G165="",$A165=""),"",IFERROR(INDEX(SAN_PHAM!$L$5:$L$26,MATCH($G165,SAN_PHAM!$A$5:$A$26,0))&amp;"?sub_id=ChiGiang-"&amp;SUBSTITUTE($A165,"-","")&amp;"-FBReels-SP"&amp;TEXT($G165,"00"),""))</f>
        <v/>
      </c>
      <c r="J165" s="8">
        <f>IF($G165="","",IFERROR(INDEX(SAN_PHAM!$N$5:$N$26,MATCH($G165,SAN_PHAM!$A$5:$A$26,0)),""))</f>
        <v/>
      </c>
      <c r="K165" s="7" t="n"/>
      <c r="L165" s="7" t="n"/>
      <c r="M165" s="26" t="n"/>
      <c r="N165" s="42" t="n"/>
      <c r="O165" s="26" t="n"/>
      <c r="P165" s="7" t="n"/>
      <c r="Q165" s="43" t="n"/>
      <c r="R165" s="43" t="n"/>
      <c r="S165" s="43" t="n"/>
      <c r="T165" s="7" t="n"/>
    </row>
    <row r="166">
      <c r="A166" s="26" t="n"/>
      <c r="B166" s="26" t="n"/>
      <c r="C166" s="7" t="n"/>
      <c r="D166" s="7" t="n"/>
      <c r="E166" s="7" t="n"/>
      <c r="F166" s="7" t="n"/>
      <c r="G166" s="26" t="n"/>
      <c r="H166" s="8">
        <f>IF($G166="","",IFERROR(INDEX(SAN_PHAM!$D$5:$D$26,MATCH($G166,SAN_PHAM!$A$5:$A$26,0)),"Sai mã SP"))</f>
        <v/>
      </c>
      <c r="I166" s="8">
        <f>IF(OR($G166="",$A166=""),"",IFERROR(INDEX(SAN_PHAM!$L$5:$L$26,MATCH($G166,SAN_PHAM!$A$5:$A$26,0))&amp;"?sub_id=ChiGiang-"&amp;SUBSTITUTE($A166,"-","")&amp;"-FBReels-SP"&amp;TEXT($G166,"00"),""))</f>
        <v/>
      </c>
      <c r="J166" s="8">
        <f>IF($G166="","",IFERROR(INDEX(SAN_PHAM!$N$5:$N$26,MATCH($G166,SAN_PHAM!$A$5:$A$26,0)),""))</f>
        <v/>
      </c>
      <c r="K166" s="7" t="n"/>
      <c r="L166" s="7" t="n"/>
      <c r="M166" s="26" t="n"/>
      <c r="N166" s="42" t="n"/>
      <c r="O166" s="26" t="n"/>
      <c r="P166" s="7" t="n"/>
      <c r="Q166" s="43" t="n"/>
      <c r="R166" s="43" t="n"/>
      <c r="S166" s="43" t="n"/>
      <c r="T166" s="7" t="n"/>
    </row>
    <row r="167">
      <c r="A167" s="26" t="n"/>
      <c r="B167" s="26" t="n"/>
      <c r="C167" s="7" t="n"/>
      <c r="D167" s="7" t="n"/>
      <c r="E167" s="7" t="n"/>
      <c r="F167" s="7" t="n"/>
      <c r="G167" s="26" t="n"/>
      <c r="H167" s="8">
        <f>IF($G167="","",IFERROR(INDEX(SAN_PHAM!$D$5:$D$26,MATCH($G167,SAN_PHAM!$A$5:$A$26,0)),"Sai mã SP"))</f>
        <v/>
      </c>
      <c r="I167" s="8">
        <f>IF(OR($G167="",$A167=""),"",IFERROR(INDEX(SAN_PHAM!$L$5:$L$26,MATCH($G167,SAN_PHAM!$A$5:$A$26,0))&amp;"?sub_id=ChiGiang-"&amp;SUBSTITUTE($A167,"-","")&amp;"-FBReels-SP"&amp;TEXT($G167,"00"),""))</f>
        <v/>
      </c>
      <c r="J167" s="8">
        <f>IF($G167="","",IFERROR(INDEX(SAN_PHAM!$N$5:$N$26,MATCH($G167,SAN_PHAM!$A$5:$A$26,0)),""))</f>
        <v/>
      </c>
      <c r="K167" s="7" t="n"/>
      <c r="L167" s="7" t="n"/>
      <c r="M167" s="26" t="n"/>
      <c r="N167" s="42" t="n"/>
      <c r="O167" s="26" t="n"/>
      <c r="P167" s="7" t="n"/>
      <c r="Q167" s="43" t="n"/>
      <c r="R167" s="43" t="n"/>
      <c r="S167" s="43" t="n"/>
      <c r="T167" s="7" t="n"/>
    </row>
    <row r="168">
      <c r="A168" s="26" t="n"/>
      <c r="B168" s="26" t="n"/>
      <c r="C168" s="7" t="n"/>
      <c r="D168" s="7" t="n"/>
      <c r="E168" s="7" t="n"/>
      <c r="F168" s="7" t="n"/>
      <c r="G168" s="26" t="n"/>
      <c r="H168" s="8">
        <f>IF($G168="","",IFERROR(INDEX(SAN_PHAM!$D$5:$D$26,MATCH($G168,SAN_PHAM!$A$5:$A$26,0)),"Sai mã SP"))</f>
        <v/>
      </c>
      <c r="I168" s="8">
        <f>IF(OR($G168="",$A168=""),"",IFERROR(INDEX(SAN_PHAM!$L$5:$L$26,MATCH($G168,SAN_PHAM!$A$5:$A$26,0))&amp;"?sub_id=ChiGiang-"&amp;SUBSTITUTE($A168,"-","")&amp;"-FBReels-SP"&amp;TEXT($G168,"00"),""))</f>
        <v/>
      </c>
      <c r="J168" s="8">
        <f>IF($G168="","",IFERROR(INDEX(SAN_PHAM!$N$5:$N$26,MATCH($G168,SAN_PHAM!$A$5:$A$26,0)),""))</f>
        <v/>
      </c>
      <c r="K168" s="7" t="n"/>
      <c r="L168" s="7" t="n"/>
      <c r="M168" s="26" t="n"/>
      <c r="N168" s="42" t="n"/>
      <c r="O168" s="26" t="n"/>
      <c r="P168" s="7" t="n"/>
      <c r="Q168" s="43" t="n"/>
      <c r="R168" s="43" t="n"/>
      <c r="S168" s="43" t="n"/>
      <c r="T168" s="7" t="n"/>
    </row>
    <row r="169">
      <c r="A169" s="26" t="n"/>
      <c r="B169" s="26" t="n"/>
      <c r="C169" s="7" t="n"/>
      <c r="D169" s="7" t="n"/>
      <c r="E169" s="7" t="n"/>
      <c r="F169" s="7" t="n"/>
      <c r="G169" s="26" t="n"/>
      <c r="H169" s="8">
        <f>IF($G169="","",IFERROR(INDEX(SAN_PHAM!$D$5:$D$26,MATCH($G169,SAN_PHAM!$A$5:$A$26,0)),"Sai mã SP"))</f>
        <v/>
      </c>
      <c r="I169" s="8">
        <f>IF(OR($G169="",$A169=""),"",IFERROR(INDEX(SAN_PHAM!$L$5:$L$26,MATCH($G169,SAN_PHAM!$A$5:$A$26,0))&amp;"?sub_id=ChiGiang-"&amp;SUBSTITUTE($A169,"-","")&amp;"-FBReels-SP"&amp;TEXT($G169,"00"),""))</f>
        <v/>
      </c>
      <c r="J169" s="8">
        <f>IF($G169="","",IFERROR(INDEX(SAN_PHAM!$N$5:$N$26,MATCH($G169,SAN_PHAM!$A$5:$A$26,0)),""))</f>
        <v/>
      </c>
      <c r="K169" s="7" t="n"/>
      <c r="L169" s="7" t="n"/>
      <c r="M169" s="26" t="n"/>
      <c r="N169" s="42" t="n"/>
      <c r="O169" s="26" t="n"/>
      <c r="P169" s="7" t="n"/>
      <c r="Q169" s="43" t="n"/>
      <c r="R169" s="43" t="n"/>
      <c r="S169" s="43" t="n"/>
      <c r="T169" s="7" t="n"/>
    </row>
    <row r="170">
      <c r="A170" s="26" t="n"/>
      <c r="B170" s="26" t="n"/>
      <c r="C170" s="7" t="n"/>
      <c r="D170" s="7" t="n"/>
      <c r="E170" s="7" t="n"/>
      <c r="F170" s="7" t="n"/>
      <c r="G170" s="26" t="n"/>
      <c r="H170" s="8">
        <f>IF($G170="","",IFERROR(INDEX(SAN_PHAM!$D$5:$D$26,MATCH($G170,SAN_PHAM!$A$5:$A$26,0)),"Sai mã SP"))</f>
        <v/>
      </c>
      <c r="I170" s="8">
        <f>IF(OR($G170="",$A170=""),"",IFERROR(INDEX(SAN_PHAM!$L$5:$L$26,MATCH($G170,SAN_PHAM!$A$5:$A$26,0))&amp;"?sub_id=ChiGiang-"&amp;SUBSTITUTE($A170,"-","")&amp;"-FBReels-SP"&amp;TEXT($G170,"00"),""))</f>
        <v/>
      </c>
      <c r="J170" s="8">
        <f>IF($G170="","",IFERROR(INDEX(SAN_PHAM!$N$5:$N$26,MATCH($G170,SAN_PHAM!$A$5:$A$26,0)),""))</f>
        <v/>
      </c>
      <c r="K170" s="7" t="n"/>
      <c r="L170" s="7" t="n"/>
      <c r="M170" s="26" t="n"/>
      <c r="N170" s="42" t="n"/>
      <c r="O170" s="26" t="n"/>
      <c r="P170" s="7" t="n"/>
      <c r="Q170" s="43" t="n"/>
      <c r="R170" s="43" t="n"/>
      <c r="S170" s="43" t="n"/>
      <c r="T170" s="7" t="n"/>
    </row>
    <row r="171">
      <c r="A171" s="26" t="n"/>
      <c r="B171" s="26" t="n"/>
      <c r="C171" s="7" t="n"/>
      <c r="D171" s="7" t="n"/>
      <c r="E171" s="7" t="n"/>
      <c r="F171" s="7" t="n"/>
      <c r="G171" s="26" t="n"/>
      <c r="H171" s="8">
        <f>IF($G171="","",IFERROR(INDEX(SAN_PHAM!$D$5:$D$26,MATCH($G171,SAN_PHAM!$A$5:$A$26,0)),"Sai mã SP"))</f>
        <v/>
      </c>
      <c r="I171" s="8">
        <f>IF(OR($G171="",$A171=""),"",IFERROR(INDEX(SAN_PHAM!$L$5:$L$26,MATCH($G171,SAN_PHAM!$A$5:$A$26,0))&amp;"?sub_id=ChiGiang-"&amp;SUBSTITUTE($A171,"-","")&amp;"-FBReels-SP"&amp;TEXT($G171,"00"),""))</f>
        <v/>
      </c>
      <c r="J171" s="8">
        <f>IF($G171="","",IFERROR(INDEX(SAN_PHAM!$N$5:$N$26,MATCH($G171,SAN_PHAM!$A$5:$A$26,0)),""))</f>
        <v/>
      </c>
      <c r="K171" s="7" t="n"/>
      <c r="L171" s="7" t="n"/>
      <c r="M171" s="26" t="n"/>
      <c r="N171" s="42" t="n"/>
      <c r="O171" s="26" t="n"/>
      <c r="P171" s="7" t="n"/>
      <c r="Q171" s="43" t="n"/>
      <c r="R171" s="43" t="n"/>
      <c r="S171" s="43" t="n"/>
      <c r="T171" s="7" t="n"/>
    </row>
    <row r="172">
      <c r="A172" s="26" t="n"/>
      <c r="B172" s="26" t="n"/>
      <c r="C172" s="7" t="n"/>
      <c r="D172" s="7" t="n"/>
      <c r="E172" s="7" t="n"/>
      <c r="F172" s="7" t="n"/>
      <c r="G172" s="26" t="n"/>
      <c r="H172" s="8">
        <f>IF($G172="","",IFERROR(INDEX(SAN_PHAM!$D$5:$D$26,MATCH($G172,SAN_PHAM!$A$5:$A$26,0)),"Sai mã SP"))</f>
        <v/>
      </c>
      <c r="I172" s="8">
        <f>IF(OR($G172="",$A172=""),"",IFERROR(INDEX(SAN_PHAM!$L$5:$L$26,MATCH($G172,SAN_PHAM!$A$5:$A$26,0))&amp;"?sub_id=ChiGiang-"&amp;SUBSTITUTE($A172,"-","")&amp;"-FBReels-SP"&amp;TEXT($G172,"00"),""))</f>
        <v/>
      </c>
      <c r="J172" s="8">
        <f>IF($G172="","",IFERROR(INDEX(SAN_PHAM!$N$5:$N$26,MATCH($G172,SAN_PHAM!$A$5:$A$26,0)),""))</f>
        <v/>
      </c>
      <c r="K172" s="7" t="n"/>
      <c r="L172" s="7" t="n"/>
      <c r="M172" s="26" t="n"/>
      <c r="N172" s="42" t="n"/>
      <c r="O172" s="26" t="n"/>
      <c r="P172" s="7" t="n"/>
      <c r="Q172" s="43" t="n"/>
      <c r="R172" s="43" t="n"/>
      <c r="S172" s="43" t="n"/>
      <c r="T172" s="7" t="n"/>
    </row>
    <row r="173">
      <c r="A173" s="26" t="n"/>
      <c r="B173" s="26" t="n"/>
      <c r="C173" s="7" t="n"/>
      <c r="D173" s="7" t="n"/>
      <c r="E173" s="7" t="n"/>
      <c r="F173" s="7" t="n"/>
      <c r="G173" s="26" t="n"/>
      <c r="H173" s="8">
        <f>IF($G173="","",IFERROR(INDEX(SAN_PHAM!$D$5:$D$26,MATCH($G173,SAN_PHAM!$A$5:$A$26,0)),"Sai mã SP"))</f>
        <v/>
      </c>
      <c r="I173" s="8">
        <f>IF(OR($G173="",$A173=""),"",IFERROR(INDEX(SAN_PHAM!$L$5:$L$26,MATCH($G173,SAN_PHAM!$A$5:$A$26,0))&amp;"?sub_id=ChiGiang-"&amp;SUBSTITUTE($A173,"-","")&amp;"-FBReels-SP"&amp;TEXT($G173,"00"),""))</f>
        <v/>
      </c>
      <c r="J173" s="8">
        <f>IF($G173="","",IFERROR(INDEX(SAN_PHAM!$N$5:$N$26,MATCH($G173,SAN_PHAM!$A$5:$A$26,0)),""))</f>
        <v/>
      </c>
      <c r="K173" s="7" t="n"/>
      <c r="L173" s="7" t="n"/>
      <c r="M173" s="26" t="n"/>
      <c r="N173" s="42" t="n"/>
      <c r="O173" s="26" t="n"/>
      <c r="P173" s="7" t="n"/>
      <c r="Q173" s="43" t="n"/>
      <c r="R173" s="43" t="n"/>
      <c r="S173" s="43" t="n"/>
      <c r="T173" s="7" t="n"/>
    </row>
    <row r="174">
      <c r="A174" s="26" t="n"/>
      <c r="B174" s="26" t="n"/>
      <c r="C174" s="7" t="n"/>
      <c r="D174" s="7" t="n"/>
      <c r="E174" s="7" t="n"/>
      <c r="F174" s="7" t="n"/>
      <c r="G174" s="26" t="n"/>
      <c r="H174" s="8">
        <f>IF($G174="","",IFERROR(INDEX(SAN_PHAM!$D$5:$D$26,MATCH($G174,SAN_PHAM!$A$5:$A$26,0)),"Sai mã SP"))</f>
        <v/>
      </c>
      <c r="I174" s="8">
        <f>IF(OR($G174="",$A174=""),"",IFERROR(INDEX(SAN_PHAM!$L$5:$L$26,MATCH($G174,SAN_PHAM!$A$5:$A$26,0))&amp;"?sub_id=ChiGiang-"&amp;SUBSTITUTE($A174,"-","")&amp;"-FBReels-SP"&amp;TEXT($G174,"00"),""))</f>
        <v/>
      </c>
      <c r="J174" s="8">
        <f>IF($G174="","",IFERROR(INDEX(SAN_PHAM!$N$5:$N$26,MATCH($G174,SAN_PHAM!$A$5:$A$26,0)),""))</f>
        <v/>
      </c>
      <c r="K174" s="7" t="n"/>
      <c r="L174" s="7" t="n"/>
      <c r="M174" s="26" t="n"/>
      <c r="N174" s="42" t="n"/>
      <c r="O174" s="26" t="n"/>
      <c r="P174" s="7" t="n"/>
      <c r="Q174" s="43" t="n"/>
      <c r="R174" s="43" t="n"/>
      <c r="S174" s="43" t="n"/>
      <c r="T174" s="7" t="n"/>
    </row>
    <row r="175">
      <c r="A175" s="26" t="n"/>
      <c r="B175" s="26" t="n"/>
      <c r="C175" s="7" t="n"/>
      <c r="D175" s="7" t="n"/>
      <c r="E175" s="7" t="n"/>
      <c r="F175" s="7" t="n"/>
      <c r="G175" s="26" t="n"/>
      <c r="H175" s="8">
        <f>IF($G175="","",IFERROR(INDEX(SAN_PHAM!$D$5:$D$26,MATCH($G175,SAN_PHAM!$A$5:$A$26,0)),"Sai mã SP"))</f>
        <v/>
      </c>
      <c r="I175" s="8">
        <f>IF(OR($G175="",$A175=""),"",IFERROR(INDEX(SAN_PHAM!$L$5:$L$26,MATCH($G175,SAN_PHAM!$A$5:$A$26,0))&amp;"?sub_id=ChiGiang-"&amp;SUBSTITUTE($A175,"-","")&amp;"-FBReels-SP"&amp;TEXT($G175,"00"),""))</f>
        <v/>
      </c>
      <c r="J175" s="8">
        <f>IF($G175="","",IFERROR(INDEX(SAN_PHAM!$N$5:$N$26,MATCH($G175,SAN_PHAM!$A$5:$A$26,0)),""))</f>
        <v/>
      </c>
      <c r="K175" s="7" t="n"/>
      <c r="L175" s="7" t="n"/>
      <c r="M175" s="26" t="n"/>
      <c r="N175" s="42" t="n"/>
      <c r="O175" s="26" t="n"/>
      <c r="P175" s="7" t="n"/>
      <c r="Q175" s="43" t="n"/>
      <c r="R175" s="43" t="n"/>
      <c r="S175" s="43" t="n"/>
      <c r="T175" s="7" t="n"/>
    </row>
    <row r="176">
      <c r="A176" s="26" t="n"/>
      <c r="B176" s="26" t="n"/>
      <c r="C176" s="7" t="n"/>
      <c r="D176" s="7" t="n"/>
      <c r="E176" s="7" t="n"/>
      <c r="F176" s="7" t="n"/>
      <c r="G176" s="26" t="n"/>
      <c r="H176" s="8">
        <f>IF($G176="","",IFERROR(INDEX(SAN_PHAM!$D$5:$D$26,MATCH($G176,SAN_PHAM!$A$5:$A$26,0)),"Sai mã SP"))</f>
        <v/>
      </c>
      <c r="I176" s="8">
        <f>IF(OR($G176="",$A176=""),"",IFERROR(INDEX(SAN_PHAM!$L$5:$L$26,MATCH($G176,SAN_PHAM!$A$5:$A$26,0))&amp;"?sub_id=ChiGiang-"&amp;SUBSTITUTE($A176,"-","")&amp;"-FBReels-SP"&amp;TEXT($G176,"00"),""))</f>
        <v/>
      </c>
      <c r="J176" s="8">
        <f>IF($G176="","",IFERROR(INDEX(SAN_PHAM!$N$5:$N$26,MATCH($G176,SAN_PHAM!$A$5:$A$26,0)),""))</f>
        <v/>
      </c>
      <c r="K176" s="7" t="n"/>
      <c r="L176" s="7" t="n"/>
      <c r="M176" s="26" t="n"/>
      <c r="N176" s="42" t="n"/>
      <c r="O176" s="26" t="n"/>
      <c r="P176" s="7" t="n"/>
      <c r="Q176" s="43" t="n"/>
      <c r="R176" s="43" t="n"/>
      <c r="S176" s="43" t="n"/>
      <c r="T176" s="7" t="n"/>
    </row>
    <row r="177">
      <c r="A177" s="26" t="n"/>
      <c r="B177" s="26" t="n"/>
      <c r="C177" s="7" t="n"/>
      <c r="D177" s="7" t="n"/>
      <c r="E177" s="7" t="n"/>
      <c r="F177" s="7" t="n"/>
      <c r="G177" s="26" t="n"/>
      <c r="H177" s="8">
        <f>IF($G177="","",IFERROR(INDEX(SAN_PHAM!$D$5:$D$26,MATCH($G177,SAN_PHAM!$A$5:$A$26,0)),"Sai mã SP"))</f>
        <v/>
      </c>
      <c r="I177" s="8">
        <f>IF(OR($G177="",$A177=""),"",IFERROR(INDEX(SAN_PHAM!$L$5:$L$26,MATCH($G177,SAN_PHAM!$A$5:$A$26,0))&amp;"?sub_id=ChiGiang-"&amp;SUBSTITUTE($A177,"-","")&amp;"-FBReels-SP"&amp;TEXT($G177,"00"),""))</f>
        <v/>
      </c>
      <c r="J177" s="8">
        <f>IF($G177="","",IFERROR(INDEX(SAN_PHAM!$N$5:$N$26,MATCH($G177,SAN_PHAM!$A$5:$A$26,0)),""))</f>
        <v/>
      </c>
      <c r="K177" s="7" t="n"/>
      <c r="L177" s="7" t="n"/>
      <c r="M177" s="26" t="n"/>
      <c r="N177" s="42" t="n"/>
      <c r="O177" s="26" t="n"/>
      <c r="P177" s="7" t="n"/>
      <c r="Q177" s="43" t="n"/>
      <c r="R177" s="43" t="n"/>
      <c r="S177" s="43" t="n"/>
      <c r="T177" s="7" t="n"/>
    </row>
    <row r="178">
      <c r="A178" s="26" t="n"/>
      <c r="B178" s="26" t="n"/>
      <c r="C178" s="7" t="n"/>
      <c r="D178" s="7" t="n"/>
      <c r="E178" s="7" t="n"/>
      <c r="F178" s="7" t="n"/>
      <c r="G178" s="26" t="n"/>
      <c r="H178" s="8">
        <f>IF($G178="","",IFERROR(INDEX(SAN_PHAM!$D$5:$D$26,MATCH($G178,SAN_PHAM!$A$5:$A$26,0)),"Sai mã SP"))</f>
        <v/>
      </c>
      <c r="I178" s="8">
        <f>IF(OR($G178="",$A178=""),"",IFERROR(INDEX(SAN_PHAM!$L$5:$L$26,MATCH($G178,SAN_PHAM!$A$5:$A$26,0))&amp;"?sub_id=ChiGiang-"&amp;SUBSTITUTE($A178,"-","")&amp;"-FBReels-SP"&amp;TEXT($G178,"00"),""))</f>
        <v/>
      </c>
      <c r="J178" s="8">
        <f>IF($G178="","",IFERROR(INDEX(SAN_PHAM!$N$5:$N$26,MATCH($G178,SAN_PHAM!$A$5:$A$26,0)),""))</f>
        <v/>
      </c>
      <c r="K178" s="7" t="n"/>
      <c r="L178" s="7" t="n"/>
      <c r="M178" s="26" t="n"/>
      <c r="N178" s="42" t="n"/>
      <c r="O178" s="26" t="n"/>
      <c r="P178" s="7" t="n"/>
      <c r="Q178" s="43" t="n"/>
      <c r="R178" s="43" t="n"/>
      <c r="S178" s="43" t="n"/>
      <c r="T178" s="7" t="n"/>
    </row>
    <row r="179">
      <c r="A179" s="26" t="n"/>
      <c r="B179" s="26" t="n"/>
      <c r="C179" s="7" t="n"/>
      <c r="D179" s="7" t="n"/>
      <c r="E179" s="7" t="n"/>
      <c r="F179" s="7" t="n"/>
      <c r="G179" s="26" t="n"/>
      <c r="H179" s="8">
        <f>IF($G179="","",IFERROR(INDEX(SAN_PHAM!$D$5:$D$26,MATCH($G179,SAN_PHAM!$A$5:$A$26,0)),"Sai mã SP"))</f>
        <v/>
      </c>
      <c r="I179" s="8">
        <f>IF(OR($G179="",$A179=""),"",IFERROR(INDEX(SAN_PHAM!$L$5:$L$26,MATCH($G179,SAN_PHAM!$A$5:$A$26,0))&amp;"?sub_id=ChiGiang-"&amp;SUBSTITUTE($A179,"-","")&amp;"-FBReels-SP"&amp;TEXT($G179,"00"),""))</f>
        <v/>
      </c>
      <c r="J179" s="8">
        <f>IF($G179="","",IFERROR(INDEX(SAN_PHAM!$N$5:$N$26,MATCH($G179,SAN_PHAM!$A$5:$A$26,0)),""))</f>
        <v/>
      </c>
      <c r="K179" s="7" t="n"/>
      <c r="L179" s="7" t="n"/>
      <c r="M179" s="26" t="n"/>
      <c r="N179" s="42" t="n"/>
      <c r="O179" s="26" t="n"/>
      <c r="P179" s="7" t="n"/>
      <c r="Q179" s="43" t="n"/>
      <c r="R179" s="43" t="n"/>
      <c r="S179" s="43" t="n"/>
      <c r="T179" s="7" t="n"/>
    </row>
    <row r="180">
      <c r="A180" s="26" t="n"/>
      <c r="B180" s="26" t="n"/>
      <c r="C180" s="7" t="n"/>
      <c r="D180" s="7" t="n"/>
      <c r="E180" s="7" t="n"/>
      <c r="F180" s="7" t="n"/>
      <c r="G180" s="26" t="n"/>
      <c r="H180" s="8">
        <f>IF($G180="","",IFERROR(INDEX(SAN_PHAM!$D$5:$D$26,MATCH($G180,SAN_PHAM!$A$5:$A$26,0)),"Sai mã SP"))</f>
        <v/>
      </c>
      <c r="I180" s="8">
        <f>IF(OR($G180="",$A180=""),"",IFERROR(INDEX(SAN_PHAM!$L$5:$L$26,MATCH($G180,SAN_PHAM!$A$5:$A$26,0))&amp;"?sub_id=ChiGiang-"&amp;SUBSTITUTE($A180,"-","")&amp;"-FBReels-SP"&amp;TEXT($G180,"00"),""))</f>
        <v/>
      </c>
      <c r="J180" s="8">
        <f>IF($G180="","",IFERROR(INDEX(SAN_PHAM!$N$5:$N$26,MATCH($G180,SAN_PHAM!$A$5:$A$26,0)),""))</f>
        <v/>
      </c>
      <c r="K180" s="7" t="n"/>
      <c r="L180" s="7" t="n"/>
      <c r="M180" s="26" t="n"/>
      <c r="N180" s="42" t="n"/>
      <c r="O180" s="26" t="n"/>
      <c r="P180" s="7" t="n"/>
      <c r="Q180" s="43" t="n"/>
      <c r="R180" s="43" t="n"/>
      <c r="S180" s="43" t="n"/>
      <c r="T180" s="7" t="n"/>
    </row>
    <row r="181">
      <c r="A181" s="26" t="n"/>
      <c r="B181" s="26" t="n"/>
      <c r="C181" s="7" t="n"/>
      <c r="D181" s="7" t="n"/>
      <c r="E181" s="7" t="n"/>
      <c r="F181" s="7" t="n"/>
      <c r="G181" s="26" t="n"/>
      <c r="H181" s="8">
        <f>IF($G181="","",IFERROR(INDEX(SAN_PHAM!$D$5:$D$26,MATCH($G181,SAN_PHAM!$A$5:$A$26,0)),"Sai mã SP"))</f>
        <v/>
      </c>
      <c r="I181" s="8">
        <f>IF(OR($G181="",$A181=""),"",IFERROR(INDEX(SAN_PHAM!$L$5:$L$26,MATCH($G181,SAN_PHAM!$A$5:$A$26,0))&amp;"?sub_id=ChiGiang-"&amp;SUBSTITUTE($A181,"-","")&amp;"-FBReels-SP"&amp;TEXT($G181,"00"),""))</f>
        <v/>
      </c>
      <c r="J181" s="8">
        <f>IF($G181="","",IFERROR(INDEX(SAN_PHAM!$N$5:$N$26,MATCH($G181,SAN_PHAM!$A$5:$A$26,0)),""))</f>
        <v/>
      </c>
      <c r="K181" s="7" t="n"/>
      <c r="L181" s="7" t="n"/>
      <c r="M181" s="26" t="n"/>
      <c r="N181" s="42" t="n"/>
      <c r="O181" s="26" t="n"/>
      <c r="P181" s="7" t="n"/>
      <c r="Q181" s="43" t="n"/>
      <c r="R181" s="43" t="n"/>
      <c r="S181" s="43" t="n"/>
      <c r="T181" s="7" t="n"/>
    </row>
    <row r="182">
      <c r="A182" s="26" t="n"/>
      <c r="B182" s="26" t="n"/>
      <c r="C182" s="7" t="n"/>
      <c r="D182" s="7" t="n"/>
      <c r="E182" s="7" t="n"/>
      <c r="F182" s="7" t="n"/>
      <c r="G182" s="26" t="n"/>
      <c r="H182" s="8">
        <f>IF($G182="","",IFERROR(INDEX(SAN_PHAM!$D$5:$D$26,MATCH($G182,SAN_PHAM!$A$5:$A$26,0)),"Sai mã SP"))</f>
        <v/>
      </c>
      <c r="I182" s="8">
        <f>IF(OR($G182="",$A182=""),"",IFERROR(INDEX(SAN_PHAM!$L$5:$L$26,MATCH($G182,SAN_PHAM!$A$5:$A$26,0))&amp;"?sub_id=ChiGiang-"&amp;SUBSTITUTE($A182,"-","")&amp;"-FBReels-SP"&amp;TEXT($G182,"00"),""))</f>
        <v/>
      </c>
      <c r="J182" s="8">
        <f>IF($G182="","",IFERROR(INDEX(SAN_PHAM!$N$5:$N$26,MATCH($G182,SAN_PHAM!$A$5:$A$26,0)),""))</f>
        <v/>
      </c>
      <c r="K182" s="7" t="n"/>
      <c r="L182" s="7" t="n"/>
      <c r="M182" s="26" t="n"/>
      <c r="N182" s="42" t="n"/>
      <c r="O182" s="26" t="n"/>
      <c r="P182" s="7" t="n"/>
      <c r="Q182" s="43" t="n"/>
      <c r="R182" s="43" t="n"/>
      <c r="S182" s="43" t="n"/>
      <c r="T182" s="7" t="n"/>
    </row>
    <row r="183">
      <c r="A183" s="26" t="n"/>
      <c r="B183" s="26" t="n"/>
      <c r="C183" s="7" t="n"/>
      <c r="D183" s="7" t="n"/>
      <c r="E183" s="7" t="n"/>
      <c r="F183" s="7" t="n"/>
      <c r="G183" s="26" t="n"/>
      <c r="H183" s="8">
        <f>IF($G183="","",IFERROR(INDEX(SAN_PHAM!$D$5:$D$26,MATCH($G183,SAN_PHAM!$A$5:$A$26,0)),"Sai mã SP"))</f>
        <v/>
      </c>
      <c r="I183" s="8">
        <f>IF(OR($G183="",$A183=""),"",IFERROR(INDEX(SAN_PHAM!$L$5:$L$26,MATCH($G183,SAN_PHAM!$A$5:$A$26,0))&amp;"?sub_id=ChiGiang-"&amp;SUBSTITUTE($A183,"-","")&amp;"-FBReels-SP"&amp;TEXT($G183,"00"),""))</f>
        <v/>
      </c>
      <c r="J183" s="8">
        <f>IF($G183="","",IFERROR(INDEX(SAN_PHAM!$N$5:$N$26,MATCH($G183,SAN_PHAM!$A$5:$A$26,0)),""))</f>
        <v/>
      </c>
      <c r="K183" s="7" t="n"/>
      <c r="L183" s="7" t="n"/>
      <c r="M183" s="26" t="n"/>
      <c r="N183" s="42" t="n"/>
      <c r="O183" s="26" t="n"/>
      <c r="P183" s="7" t="n"/>
      <c r="Q183" s="43" t="n"/>
      <c r="R183" s="43" t="n"/>
      <c r="S183" s="43" t="n"/>
      <c r="T183" s="7" t="n"/>
    </row>
    <row r="184">
      <c r="A184" s="26" t="n"/>
      <c r="B184" s="26" t="n"/>
      <c r="C184" s="7" t="n"/>
      <c r="D184" s="7" t="n"/>
      <c r="E184" s="7" t="n"/>
      <c r="F184" s="7" t="n"/>
      <c r="G184" s="26" t="n"/>
      <c r="H184" s="8">
        <f>IF($G184="","",IFERROR(INDEX(SAN_PHAM!$D$5:$D$26,MATCH($G184,SAN_PHAM!$A$5:$A$26,0)),"Sai mã SP"))</f>
        <v/>
      </c>
      <c r="I184" s="8">
        <f>IF(OR($G184="",$A184=""),"",IFERROR(INDEX(SAN_PHAM!$L$5:$L$26,MATCH($G184,SAN_PHAM!$A$5:$A$26,0))&amp;"?sub_id=ChiGiang-"&amp;SUBSTITUTE($A184,"-","")&amp;"-FBReels-SP"&amp;TEXT($G184,"00"),""))</f>
        <v/>
      </c>
      <c r="J184" s="8">
        <f>IF($G184="","",IFERROR(INDEX(SAN_PHAM!$N$5:$N$26,MATCH($G184,SAN_PHAM!$A$5:$A$26,0)),""))</f>
        <v/>
      </c>
      <c r="K184" s="7" t="n"/>
      <c r="L184" s="7" t="n"/>
      <c r="M184" s="26" t="n"/>
      <c r="N184" s="42" t="n"/>
      <c r="O184" s="26" t="n"/>
      <c r="P184" s="7" t="n"/>
      <c r="Q184" s="43" t="n"/>
      <c r="R184" s="43" t="n"/>
      <c r="S184" s="43" t="n"/>
      <c r="T184" s="7" t="n"/>
    </row>
    <row r="185">
      <c r="A185" s="26" t="n"/>
      <c r="B185" s="26" t="n"/>
      <c r="C185" s="7" t="n"/>
      <c r="D185" s="7" t="n"/>
      <c r="E185" s="7" t="n"/>
      <c r="F185" s="7" t="n"/>
      <c r="G185" s="26" t="n"/>
      <c r="H185" s="8">
        <f>IF($G185="","",IFERROR(INDEX(SAN_PHAM!$D$5:$D$26,MATCH($G185,SAN_PHAM!$A$5:$A$26,0)),"Sai mã SP"))</f>
        <v/>
      </c>
      <c r="I185" s="8">
        <f>IF(OR($G185="",$A185=""),"",IFERROR(INDEX(SAN_PHAM!$L$5:$L$26,MATCH($G185,SAN_PHAM!$A$5:$A$26,0))&amp;"?sub_id=ChiGiang-"&amp;SUBSTITUTE($A185,"-","")&amp;"-FBReels-SP"&amp;TEXT($G185,"00"),""))</f>
        <v/>
      </c>
      <c r="J185" s="8">
        <f>IF($G185="","",IFERROR(INDEX(SAN_PHAM!$N$5:$N$26,MATCH($G185,SAN_PHAM!$A$5:$A$26,0)),""))</f>
        <v/>
      </c>
      <c r="K185" s="7" t="n"/>
      <c r="L185" s="7" t="n"/>
      <c r="M185" s="26" t="n"/>
      <c r="N185" s="42" t="n"/>
      <c r="O185" s="26" t="n"/>
      <c r="P185" s="7" t="n"/>
      <c r="Q185" s="43" t="n"/>
      <c r="R185" s="43" t="n"/>
      <c r="S185" s="43" t="n"/>
      <c r="T185" s="7" t="n"/>
    </row>
    <row r="186">
      <c r="A186" s="26" t="n"/>
      <c r="B186" s="26" t="n"/>
      <c r="C186" s="7" t="n"/>
      <c r="D186" s="7" t="n"/>
      <c r="E186" s="7" t="n"/>
      <c r="F186" s="7" t="n"/>
      <c r="G186" s="26" t="n"/>
      <c r="H186" s="8">
        <f>IF($G186="","",IFERROR(INDEX(SAN_PHAM!$D$5:$D$26,MATCH($G186,SAN_PHAM!$A$5:$A$26,0)),"Sai mã SP"))</f>
        <v/>
      </c>
      <c r="I186" s="8">
        <f>IF(OR($G186="",$A186=""),"",IFERROR(INDEX(SAN_PHAM!$L$5:$L$26,MATCH($G186,SAN_PHAM!$A$5:$A$26,0))&amp;"?sub_id=ChiGiang-"&amp;SUBSTITUTE($A186,"-","")&amp;"-FBReels-SP"&amp;TEXT($G186,"00"),""))</f>
        <v/>
      </c>
      <c r="J186" s="8">
        <f>IF($G186="","",IFERROR(INDEX(SAN_PHAM!$N$5:$N$26,MATCH($G186,SAN_PHAM!$A$5:$A$26,0)),""))</f>
        <v/>
      </c>
      <c r="K186" s="7" t="n"/>
      <c r="L186" s="7" t="n"/>
      <c r="M186" s="26" t="n"/>
      <c r="N186" s="42" t="n"/>
      <c r="O186" s="26" t="n"/>
      <c r="P186" s="7" t="n"/>
      <c r="Q186" s="43" t="n"/>
      <c r="R186" s="43" t="n"/>
      <c r="S186" s="43" t="n"/>
      <c r="T186" s="7" t="n"/>
    </row>
    <row r="187">
      <c r="A187" s="26" t="n"/>
      <c r="B187" s="26" t="n"/>
      <c r="C187" s="7" t="n"/>
      <c r="D187" s="7" t="n"/>
      <c r="E187" s="7" t="n"/>
      <c r="F187" s="7" t="n"/>
      <c r="G187" s="26" t="n"/>
      <c r="H187" s="8">
        <f>IF($G187="","",IFERROR(INDEX(SAN_PHAM!$D$5:$D$26,MATCH($G187,SAN_PHAM!$A$5:$A$26,0)),"Sai mã SP"))</f>
        <v/>
      </c>
      <c r="I187" s="8">
        <f>IF(OR($G187="",$A187=""),"",IFERROR(INDEX(SAN_PHAM!$L$5:$L$26,MATCH($G187,SAN_PHAM!$A$5:$A$26,0))&amp;"?sub_id=ChiGiang-"&amp;SUBSTITUTE($A187,"-","")&amp;"-FBReels-SP"&amp;TEXT($G187,"00"),""))</f>
        <v/>
      </c>
      <c r="J187" s="8">
        <f>IF($G187="","",IFERROR(INDEX(SAN_PHAM!$N$5:$N$26,MATCH($G187,SAN_PHAM!$A$5:$A$26,0)),""))</f>
        <v/>
      </c>
      <c r="K187" s="7" t="n"/>
      <c r="L187" s="7" t="n"/>
      <c r="M187" s="26" t="n"/>
      <c r="N187" s="42" t="n"/>
      <c r="O187" s="26" t="n"/>
      <c r="P187" s="7" t="n"/>
      <c r="Q187" s="43" t="n"/>
      <c r="R187" s="43" t="n"/>
      <c r="S187" s="43" t="n"/>
      <c r="T187" s="7" t="n"/>
    </row>
    <row r="188">
      <c r="A188" s="26" t="n"/>
      <c r="B188" s="26" t="n"/>
      <c r="C188" s="7" t="n"/>
      <c r="D188" s="7" t="n"/>
      <c r="E188" s="7" t="n"/>
      <c r="F188" s="7" t="n"/>
      <c r="G188" s="26" t="n"/>
      <c r="H188" s="8">
        <f>IF($G188="","",IFERROR(INDEX(SAN_PHAM!$D$5:$D$26,MATCH($G188,SAN_PHAM!$A$5:$A$26,0)),"Sai mã SP"))</f>
        <v/>
      </c>
      <c r="I188" s="8">
        <f>IF(OR($G188="",$A188=""),"",IFERROR(INDEX(SAN_PHAM!$L$5:$L$26,MATCH($G188,SAN_PHAM!$A$5:$A$26,0))&amp;"?sub_id=ChiGiang-"&amp;SUBSTITUTE($A188,"-","")&amp;"-FBReels-SP"&amp;TEXT($G188,"00"),""))</f>
        <v/>
      </c>
      <c r="J188" s="8">
        <f>IF($G188="","",IFERROR(INDEX(SAN_PHAM!$N$5:$N$26,MATCH($G188,SAN_PHAM!$A$5:$A$26,0)),""))</f>
        <v/>
      </c>
      <c r="K188" s="7" t="n"/>
      <c r="L188" s="7" t="n"/>
      <c r="M188" s="26" t="n"/>
      <c r="N188" s="42" t="n"/>
      <c r="O188" s="26" t="n"/>
      <c r="P188" s="7" t="n"/>
      <c r="Q188" s="43" t="n"/>
      <c r="R188" s="43" t="n"/>
      <c r="S188" s="43" t="n"/>
      <c r="T188" s="7" t="n"/>
    </row>
    <row r="189">
      <c r="A189" s="26" t="n"/>
      <c r="B189" s="26" t="n"/>
      <c r="C189" s="7" t="n"/>
      <c r="D189" s="7" t="n"/>
      <c r="E189" s="7" t="n"/>
      <c r="F189" s="7" t="n"/>
      <c r="G189" s="26" t="n"/>
      <c r="H189" s="8">
        <f>IF($G189="","",IFERROR(INDEX(SAN_PHAM!$D$5:$D$26,MATCH($G189,SAN_PHAM!$A$5:$A$26,0)),"Sai mã SP"))</f>
        <v/>
      </c>
      <c r="I189" s="8">
        <f>IF(OR($G189="",$A189=""),"",IFERROR(INDEX(SAN_PHAM!$L$5:$L$26,MATCH($G189,SAN_PHAM!$A$5:$A$26,0))&amp;"?sub_id=ChiGiang-"&amp;SUBSTITUTE($A189,"-","")&amp;"-FBReels-SP"&amp;TEXT($G189,"00"),""))</f>
        <v/>
      </c>
      <c r="J189" s="8">
        <f>IF($G189="","",IFERROR(INDEX(SAN_PHAM!$N$5:$N$26,MATCH($G189,SAN_PHAM!$A$5:$A$26,0)),""))</f>
        <v/>
      </c>
      <c r="K189" s="7" t="n"/>
      <c r="L189" s="7" t="n"/>
      <c r="M189" s="26" t="n"/>
      <c r="N189" s="42" t="n"/>
      <c r="O189" s="26" t="n"/>
      <c r="P189" s="7" t="n"/>
      <c r="Q189" s="43" t="n"/>
      <c r="R189" s="43" t="n"/>
      <c r="S189" s="43" t="n"/>
      <c r="T189" s="7" t="n"/>
    </row>
    <row r="190">
      <c r="A190" s="26" t="n"/>
      <c r="B190" s="26" t="n"/>
      <c r="C190" s="7" t="n"/>
      <c r="D190" s="7" t="n"/>
      <c r="E190" s="7" t="n"/>
      <c r="F190" s="7" t="n"/>
      <c r="G190" s="26" t="n"/>
      <c r="H190" s="8">
        <f>IF($G190="","",IFERROR(INDEX(SAN_PHAM!$D$5:$D$26,MATCH($G190,SAN_PHAM!$A$5:$A$26,0)),"Sai mã SP"))</f>
        <v/>
      </c>
      <c r="I190" s="8">
        <f>IF(OR($G190="",$A190=""),"",IFERROR(INDEX(SAN_PHAM!$L$5:$L$26,MATCH($G190,SAN_PHAM!$A$5:$A$26,0))&amp;"?sub_id=ChiGiang-"&amp;SUBSTITUTE($A190,"-","")&amp;"-FBReels-SP"&amp;TEXT($G190,"00"),""))</f>
        <v/>
      </c>
      <c r="J190" s="8">
        <f>IF($G190="","",IFERROR(INDEX(SAN_PHAM!$N$5:$N$26,MATCH($G190,SAN_PHAM!$A$5:$A$26,0)),""))</f>
        <v/>
      </c>
      <c r="K190" s="7" t="n"/>
      <c r="L190" s="7" t="n"/>
      <c r="M190" s="26" t="n"/>
      <c r="N190" s="42" t="n"/>
      <c r="O190" s="26" t="n"/>
      <c r="P190" s="7" t="n"/>
      <c r="Q190" s="43" t="n"/>
      <c r="R190" s="43" t="n"/>
      <c r="S190" s="43" t="n"/>
      <c r="T190" s="7" t="n"/>
    </row>
    <row r="191">
      <c r="A191" s="26" t="n"/>
      <c r="B191" s="26" t="n"/>
      <c r="C191" s="7" t="n"/>
      <c r="D191" s="7" t="n"/>
      <c r="E191" s="7" t="n"/>
      <c r="F191" s="7" t="n"/>
      <c r="G191" s="26" t="n"/>
      <c r="H191" s="8">
        <f>IF($G191="","",IFERROR(INDEX(SAN_PHAM!$D$5:$D$26,MATCH($G191,SAN_PHAM!$A$5:$A$26,0)),"Sai mã SP"))</f>
        <v/>
      </c>
      <c r="I191" s="8">
        <f>IF(OR($G191="",$A191=""),"",IFERROR(INDEX(SAN_PHAM!$L$5:$L$26,MATCH($G191,SAN_PHAM!$A$5:$A$26,0))&amp;"?sub_id=ChiGiang-"&amp;SUBSTITUTE($A191,"-","")&amp;"-FBReels-SP"&amp;TEXT($G191,"00"),""))</f>
        <v/>
      </c>
      <c r="J191" s="8">
        <f>IF($G191="","",IFERROR(INDEX(SAN_PHAM!$N$5:$N$26,MATCH($G191,SAN_PHAM!$A$5:$A$26,0)),""))</f>
        <v/>
      </c>
      <c r="K191" s="7" t="n"/>
      <c r="L191" s="7" t="n"/>
      <c r="M191" s="26" t="n"/>
      <c r="N191" s="42" t="n"/>
      <c r="O191" s="26" t="n"/>
      <c r="P191" s="7" t="n"/>
      <c r="Q191" s="43" t="n"/>
      <c r="R191" s="43" t="n"/>
      <c r="S191" s="43" t="n"/>
      <c r="T191" s="7" t="n"/>
    </row>
    <row r="192">
      <c r="A192" s="26" t="n"/>
      <c r="B192" s="26" t="n"/>
      <c r="C192" s="7" t="n"/>
      <c r="D192" s="7" t="n"/>
      <c r="E192" s="7" t="n"/>
      <c r="F192" s="7" t="n"/>
      <c r="G192" s="26" t="n"/>
      <c r="H192" s="8">
        <f>IF($G192="","",IFERROR(INDEX(SAN_PHAM!$D$5:$D$26,MATCH($G192,SAN_PHAM!$A$5:$A$26,0)),"Sai mã SP"))</f>
        <v/>
      </c>
      <c r="I192" s="8">
        <f>IF(OR($G192="",$A192=""),"",IFERROR(INDEX(SAN_PHAM!$L$5:$L$26,MATCH($G192,SAN_PHAM!$A$5:$A$26,0))&amp;"?sub_id=ChiGiang-"&amp;SUBSTITUTE($A192,"-","")&amp;"-FBReels-SP"&amp;TEXT($G192,"00"),""))</f>
        <v/>
      </c>
      <c r="J192" s="8">
        <f>IF($G192="","",IFERROR(INDEX(SAN_PHAM!$N$5:$N$26,MATCH($G192,SAN_PHAM!$A$5:$A$26,0)),""))</f>
        <v/>
      </c>
      <c r="K192" s="7" t="n"/>
      <c r="L192" s="7" t="n"/>
      <c r="M192" s="26" t="n"/>
      <c r="N192" s="42" t="n"/>
      <c r="O192" s="26" t="n"/>
      <c r="P192" s="7" t="n"/>
      <c r="Q192" s="43" t="n"/>
      <c r="R192" s="43" t="n"/>
      <c r="S192" s="43" t="n"/>
      <c r="T192" s="7" t="n"/>
    </row>
    <row r="193">
      <c r="A193" s="26" t="n"/>
      <c r="B193" s="26" t="n"/>
      <c r="C193" s="7" t="n"/>
      <c r="D193" s="7" t="n"/>
      <c r="E193" s="7" t="n"/>
      <c r="F193" s="7" t="n"/>
      <c r="G193" s="26" t="n"/>
      <c r="H193" s="8">
        <f>IF($G193="","",IFERROR(INDEX(SAN_PHAM!$D$5:$D$26,MATCH($G193,SAN_PHAM!$A$5:$A$26,0)),"Sai mã SP"))</f>
        <v/>
      </c>
      <c r="I193" s="8">
        <f>IF(OR($G193="",$A193=""),"",IFERROR(INDEX(SAN_PHAM!$L$5:$L$26,MATCH($G193,SAN_PHAM!$A$5:$A$26,0))&amp;"?sub_id=ChiGiang-"&amp;SUBSTITUTE($A193,"-","")&amp;"-FBReels-SP"&amp;TEXT($G193,"00"),""))</f>
        <v/>
      </c>
      <c r="J193" s="8">
        <f>IF($G193="","",IFERROR(INDEX(SAN_PHAM!$N$5:$N$26,MATCH($G193,SAN_PHAM!$A$5:$A$26,0)),""))</f>
        <v/>
      </c>
      <c r="K193" s="7" t="n"/>
      <c r="L193" s="7" t="n"/>
      <c r="M193" s="26" t="n"/>
      <c r="N193" s="42" t="n"/>
      <c r="O193" s="26" t="n"/>
      <c r="P193" s="7" t="n"/>
      <c r="Q193" s="43" t="n"/>
      <c r="R193" s="43" t="n"/>
      <c r="S193" s="43" t="n"/>
      <c r="T193" s="7" t="n"/>
    </row>
    <row r="194">
      <c r="A194" s="26" t="n"/>
      <c r="B194" s="26" t="n"/>
      <c r="C194" s="7" t="n"/>
      <c r="D194" s="7" t="n"/>
      <c r="E194" s="7" t="n"/>
      <c r="F194" s="7" t="n"/>
      <c r="G194" s="26" t="n"/>
      <c r="H194" s="8">
        <f>IF($G194="","",IFERROR(INDEX(SAN_PHAM!$D$5:$D$26,MATCH($G194,SAN_PHAM!$A$5:$A$26,0)),"Sai mã SP"))</f>
        <v/>
      </c>
      <c r="I194" s="8">
        <f>IF(OR($G194="",$A194=""),"",IFERROR(INDEX(SAN_PHAM!$L$5:$L$26,MATCH($G194,SAN_PHAM!$A$5:$A$26,0))&amp;"?sub_id=ChiGiang-"&amp;SUBSTITUTE($A194,"-","")&amp;"-FBReels-SP"&amp;TEXT($G194,"00"),""))</f>
        <v/>
      </c>
      <c r="J194" s="8">
        <f>IF($G194="","",IFERROR(INDEX(SAN_PHAM!$N$5:$N$26,MATCH($G194,SAN_PHAM!$A$5:$A$26,0)),""))</f>
        <v/>
      </c>
      <c r="K194" s="7" t="n"/>
      <c r="L194" s="7" t="n"/>
      <c r="M194" s="26" t="n"/>
      <c r="N194" s="42" t="n"/>
      <c r="O194" s="26" t="n"/>
      <c r="P194" s="7" t="n"/>
      <c r="Q194" s="43" t="n"/>
      <c r="R194" s="43" t="n"/>
      <c r="S194" s="43" t="n"/>
      <c r="T194" s="7" t="n"/>
    </row>
    <row r="195">
      <c r="A195" s="26" t="n"/>
      <c r="B195" s="26" t="n"/>
      <c r="C195" s="7" t="n"/>
      <c r="D195" s="7" t="n"/>
      <c r="E195" s="7" t="n"/>
      <c r="F195" s="7" t="n"/>
      <c r="G195" s="26" t="n"/>
      <c r="H195" s="8">
        <f>IF($G195="","",IFERROR(INDEX(SAN_PHAM!$D$5:$D$26,MATCH($G195,SAN_PHAM!$A$5:$A$26,0)),"Sai mã SP"))</f>
        <v/>
      </c>
      <c r="I195" s="8">
        <f>IF(OR($G195="",$A195=""),"",IFERROR(INDEX(SAN_PHAM!$L$5:$L$26,MATCH($G195,SAN_PHAM!$A$5:$A$26,0))&amp;"?sub_id=ChiGiang-"&amp;SUBSTITUTE($A195,"-","")&amp;"-FBReels-SP"&amp;TEXT($G195,"00"),""))</f>
        <v/>
      </c>
      <c r="J195" s="8">
        <f>IF($G195="","",IFERROR(INDEX(SAN_PHAM!$N$5:$N$26,MATCH($G195,SAN_PHAM!$A$5:$A$26,0)),""))</f>
        <v/>
      </c>
      <c r="K195" s="7" t="n"/>
      <c r="L195" s="7" t="n"/>
      <c r="M195" s="26" t="n"/>
      <c r="N195" s="42" t="n"/>
      <c r="O195" s="26" t="n"/>
      <c r="P195" s="7" t="n"/>
      <c r="Q195" s="43" t="n"/>
      <c r="R195" s="43" t="n"/>
      <c r="S195" s="43" t="n"/>
      <c r="T195" s="7" t="n"/>
    </row>
    <row r="196">
      <c r="A196" s="26" t="n"/>
      <c r="B196" s="26" t="n"/>
      <c r="C196" s="7" t="n"/>
      <c r="D196" s="7" t="n"/>
      <c r="E196" s="7" t="n"/>
      <c r="F196" s="7" t="n"/>
      <c r="G196" s="26" t="n"/>
      <c r="H196" s="8">
        <f>IF($G196="","",IFERROR(INDEX(SAN_PHAM!$D$5:$D$26,MATCH($G196,SAN_PHAM!$A$5:$A$26,0)),"Sai mã SP"))</f>
        <v/>
      </c>
      <c r="I196" s="8">
        <f>IF(OR($G196="",$A196=""),"",IFERROR(INDEX(SAN_PHAM!$L$5:$L$26,MATCH($G196,SAN_PHAM!$A$5:$A$26,0))&amp;"?sub_id=ChiGiang-"&amp;SUBSTITUTE($A196,"-","")&amp;"-FBReels-SP"&amp;TEXT($G196,"00"),""))</f>
        <v/>
      </c>
      <c r="J196" s="8">
        <f>IF($G196="","",IFERROR(INDEX(SAN_PHAM!$N$5:$N$26,MATCH($G196,SAN_PHAM!$A$5:$A$26,0)),""))</f>
        <v/>
      </c>
      <c r="K196" s="7" t="n"/>
      <c r="L196" s="7" t="n"/>
      <c r="M196" s="26" t="n"/>
      <c r="N196" s="42" t="n"/>
      <c r="O196" s="26" t="n"/>
      <c r="P196" s="7" t="n"/>
      <c r="Q196" s="43" t="n"/>
      <c r="R196" s="43" t="n"/>
      <c r="S196" s="43" t="n"/>
      <c r="T196" s="7" t="n"/>
    </row>
    <row r="197">
      <c r="A197" s="26" t="n"/>
      <c r="B197" s="26" t="n"/>
      <c r="C197" s="7" t="n"/>
      <c r="D197" s="7" t="n"/>
      <c r="E197" s="7" t="n"/>
      <c r="F197" s="7" t="n"/>
      <c r="G197" s="26" t="n"/>
      <c r="H197" s="8">
        <f>IF($G197="","",IFERROR(INDEX(SAN_PHAM!$D$5:$D$26,MATCH($G197,SAN_PHAM!$A$5:$A$26,0)),"Sai mã SP"))</f>
        <v/>
      </c>
      <c r="I197" s="8">
        <f>IF(OR($G197="",$A197=""),"",IFERROR(INDEX(SAN_PHAM!$L$5:$L$26,MATCH($G197,SAN_PHAM!$A$5:$A$26,0))&amp;"?sub_id=ChiGiang-"&amp;SUBSTITUTE($A197,"-","")&amp;"-FBReels-SP"&amp;TEXT($G197,"00"),""))</f>
        <v/>
      </c>
      <c r="J197" s="8">
        <f>IF($G197="","",IFERROR(INDEX(SAN_PHAM!$N$5:$N$26,MATCH($G197,SAN_PHAM!$A$5:$A$26,0)),""))</f>
        <v/>
      </c>
      <c r="K197" s="7" t="n"/>
      <c r="L197" s="7" t="n"/>
      <c r="M197" s="26" t="n"/>
      <c r="N197" s="42" t="n"/>
      <c r="O197" s="26" t="n"/>
      <c r="P197" s="7" t="n"/>
      <c r="Q197" s="43" t="n"/>
      <c r="R197" s="43" t="n"/>
      <c r="S197" s="43" t="n"/>
      <c r="T197" s="7" t="n"/>
    </row>
    <row r="198">
      <c r="A198" s="26" t="n"/>
      <c r="B198" s="26" t="n"/>
      <c r="C198" s="7" t="n"/>
      <c r="D198" s="7" t="n"/>
      <c r="E198" s="7" t="n"/>
      <c r="F198" s="7" t="n"/>
      <c r="G198" s="26" t="n"/>
      <c r="H198" s="8">
        <f>IF($G198="","",IFERROR(INDEX(SAN_PHAM!$D$5:$D$26,MATCH($G198,SAN_PHAM!$A$5:$A$26,0)),"Sai mã SP"))</f>
        <v/>
      </c>
      <c r="I198" s="8">
        <f>IF(OR($G198="",$A198=""),"",IFERROR(INDEX(SAN_PHAM!$L$5:$L$26,MATCH($G198,SAN_PHAM!$A$5:$A$26,0))&amp;"?sub_id=ChiGiang-"&amp;SUBSTITUTE($A198,"-","")&amp;"-FBReels-SP"&amp;TEXT($G198,"00"),""))</f>
        <v/>
      </c>
      <c r="J198" s="8">
        <f>IF($G198="","",IFERROR(INDEX(SAN_PHAM!$N$5:$N$26,MATCH($G198,SAN_PHAM!$A$5:$A$26,0)),""))</f>
        <v/>
      </c>
      <c r="K198" s="7" t="n"/>
      <c r="L198" s="7" t="n"/>
      <c r="M198" s="26" t="n"/>
      <c r="N198" s="42" t="n"/>
      <c r="O198" s="26" t="n"/>
      <c r="P198" s="7" t="n"/>
      <c r="Q198" s="43" t="n"/>
      <c r="R198" s="43" t="n"/>
      <c r="S198" s="43" t="n"/>
      <c r="T198" s="7" t="n"/>
    </row>
    <row r="199">
      <c r="A199" s="26" t="n"/>
      <c r="B199" s="26" t="n"/>
      <c r="C199" s="7" t="n"/>
      <c r="D199" s="7" t="n"/>
      <c r="E199" s="7" t="n"/>
      <c r="F199" s="7" t="n"/>
      <c r="G199" s="26" t="n"/>
      <c r="H199" s="8">
        <f>IF($G199="","",IFERROR(INDEX(SAN_PHAM!$D$5:$D$26,MATCH($G199,SAN_PHAM!$A$5:$A$26,0)),"Sai mã SP"))</f>
        <v/>
      </c>
      <c r="I199" s="8">
        <f>IF(OR($G199="",$A199=""),"",IFERROR(INDEX(SAN_PHAM!$L$5:$L$26,MATCH($G199,SAN_PHAM!$A$5:$A$26,0))&amp;"?sub_id=ChiGiang-"&amp;SUBSTITUTE($A199,"-","")&amp;"-FBReels-SP"&amp;TEXT($G199,"00"),""))</f>
        <v/>
      </c>
      <c r="J199" s="8">
        <f>IF($G199="","",IFERROR(INDEX(SAN_PHAM!$N$5:$N$26,MATCH($G199,SAN_PHAM!$A$5:$A$26,0)),""))</f>
        <v/>
      </c>
      <c r="K199" s="7" t="n"/>
      <c r="L199" s="7" t="n"/>
      <c r="M199" s="26" t="n"/>
      <c r="N199" s="42" t="n"/>
      <c r="O199" s="26" t="n"/>
      <c r="P199" s="7" t="n"/>
      <c r="Q199" s="43" t="n"/>
      <c r="R199" s="43" t="n"/>
      <c r="S199" s="43" t="n"/>
      <c r="T199" s="7" t="n"/>
    </row>
    <row r="200">
      <c r="A200" s="26" t="n"/>
      <c r="B200" s="26" t="n"/>
      <c r="C200" s="7" t="n"/>
      <c r="D200" s="7" t="n"/>
      <c r="E200" s="7" t="n"/>
      <c r="F200" s="7" t="n"/>
      <c r="G200" s="26" t="n"/>
      <c r="H200" s="8">
        <f>IF($G200="","",IFERROR(INDEX(SAN_PHAM!$D$5:$D$26,MATCH($G200,SAN_PHAM!$A$5:$A$26,0)),"Sai mã SP"))</f>
        <v/>
      </c>
      <c r="I200" s="8">
        <f>IF(OR($G200="",$A200=""),"",IFERROR(INDEX(SAN_PHAM!$L$5:$L$26,MATCH($G200,SAN_PHAM!$A$5:$A$26,0))&amp;"?sub_id=ChiGiang-"&amp;SUBSTITUTE($A200,"-","")&amp;"-FBReels-SP"&amp;TEXT($G200,"00"),""))</f>
        <v/>
      </c>
      <c r="J200" s="8">
        <f>IF($G200="","",IFERROR(INDEX(SAN_PHAM!$N$5:$N$26,MATCH($G200,SAN_PHAM!$A$5:$A$26,0)),""))</f>
        <v/>
      </c>
      <c r="K200" s="7" t="n"/>
      <c r="L200" s="7" t="n"/>
      <c r="M200" s="26" t="n"/>
      <c r="N200" s="42" t="n"/>
      <c r="O200" s="26" t="n"/>
      <c r="P200" s="7" t="n"/>
      <c r="Q200" s="43" t="n"/>
      <c r="R200" s="43" t="n"/>
      <c r="S200" s="43" t="n"/>
      <c r="T200" s="7" t="n"/>
    </row>
    <row r="201">
      <c r="A201" s="26" t="n"/>
      <c r="B201" s="26" t="n"/>
      <c r="C201" s="7" t="n"/>
      <c r="D201" s="7" t="n"/>
      <c r="E201" s="7" t="n"/>
      <c r="F201" s="7" t="n"/>
      <c r="G201" s="26" t="n"/>
      <c r="H201" s="8">
        <f>IF($G201="","",IFERROR(INDEX(SAN_PHAM!$D$5:$D$26,MATCH($G201,SAN_PHAM!$A$5:$A$26,0)),"Sai mã SP"))</f>
        <v/>
      </c>
      <c r="I201" s="8">
        <f>IF(OR($G201="",$A201=""),"",IFERROR(INDEX(SAN_PHAM!$L$5:$L$26,MATCH($G201,SAN_PHAM!$A$5:$A$26,0))&amp;"?sub_id=ChiGiang-"&amp;SUBSTITUTE($A201,"-","")&amp;"-FBReels-SP"&amp;TEXT($G201,"00"),""))</f>
        <v/>
      </c>
      <c r="J201" s="8">
        <f>IF($G201="","",IFERROR(INDEX(SAN_PHAM!$N$5:$N$26,MATCH($G201,SAN_PHAM!$A$5:$A$26,0)),""))</f>
        <v/>
      </c>
      <c r="K201" s="7" t="n"/>
      <c r="L201" s="7" t="n"/>
      <c r="M201" s="26" t="n"/>
      <c r="N201" s="42" t="n"/>
      <c r="O201" s="26" t="n"/>
      <c r="P201" s="7" t="n"/>
      <c r="Q201" s="43" t="n"/>
      <c r="R201" s="43" t="n"/>
      <c r="S201" s="43" t="n"/>
      <c r="T201" s="7" t="n"/>
    </row>
    <row r="202">
      <c r="A202" s="26" t="n"/>
      <c r="B202" s="26" t="n"/>
      <c r="C202" s="7" t="n"/>
      <c r="D202" s="7" t="n"/>
      <c r="E202" s="7" t="n"/>
      <c r="F202" s="7" t="n"/>
      <c r="G202" s="26" t="n"/>
      <c r="H202" s="8">
        <f>IF($G202="","",IFERROR(INDEX(SAN_PHAM!$D$5:$D$26,MATCH($G202,SAN_PHAM!$A$5:$A$26,0)),"Sai mã SP"))</f>
        <v/>
      </c>
      <c r="I202" s="8">
        <f>IF(OR($G202="",$A202=""),"",IFERROR(INDEX(SAN_PHAM!$L$5:$L$26,MATCH($G202,SAN_PHAM!$A$5:$A$26,0))&amp;"?sub_id=ChiGiang-"&amp;SUBSTITUTE($A202,"-","")&amp;"-FBReels-SP"&amp;TEXT($G202,"00"),""))</f>
        <v/>
      </c>
      <c r="J202" s="8">
        <f>IF($G202="","",IFERROR(INDEX(SAN_PHAM!$N$5:$N$26,MATCH($G202,SAN_PHAM!$A$5:$A$26,0)),""))</f>
        <v/>
      </c>
      <c r="K202" s="7" t="n"/>
      <c r="L202" s="7" t="n"/>
      <c r="M202" s="26" t="n"/>
      <c r="N202" s="42" t="n"/>
      <c r="O202" s="26" t="n"/>
      <c r="P202" s="7" t="n"/>
      <c r="Q202" s="43" t="n"/>
      <c r="R202" s="43" t="n"/>
      <c r="S202" s="43" t="n"/>
      <c r="T202" s="7" t="n"/>
    </row>
    <row r="203">
      <c r="A203" s="26" t="n"/>
      <c r="B203" s="26" t="n"/>
      <c r="C203" s="7" t="n"/>
      <c r="D203" s="7" t="n"/>
      <c r="E203" s="7" t="n"/>
      <c r="F203" s="7" t="n"/>
      <c r="G203" s="26" t="n"/>
      <c r="H203" s="8">
        <f>IF($G203="","",IFERROR(INDEX(SAN_PHAM!$D$5:$D$26,MATCH($G203,SAN_PHAM!$A$5:$A$26,0)),"Sai mã SP"))</f>
        <v/>
      </c>
      <c r="I203" s="8">
        <f>IF(OR($G203="",$A203=""),"",IFERROR(INDEX(SAN_PHAM!$L$5:$L$26,MATCH($G203,SAN_PHAM!$A$5:$A$26,0))&amp;"?sub_id=ChiGiang-"&amp;SUBSTITUTE($A203,"-","")&amp;"-FBReels-SP"&amp;TEXT($G203,"00"),""))</f>
        <v/>
      </c>
      <c r="J203" s="8">
        <f>IF($G203="","",IFERROR(INDEX(SAN_PHAM!$N$5:$N$26,MATCH($G203,SAN_PHAM!$A$5:$A$26,0)),""))</f>
        <v/>
      </c>
      <c r="K203" s="7" t="n"/>
      <c r="L203" s="7" t="n"/>
      <c r="M203" s="26" t="n"/>
      <c r="N203" s="42" t="n"/>
      <c r="O203" s="26" t="n"/>
      <c r="P203" s="7" t="n"/>
      <c r="Q203" s="43" t="n"/>
      <c r="R203" s="43" t="n"/>
      <c r="S203" s="43" t="n"/>
      <c r="T203" s="7" t="n"/>
    </row>
    <row r="204">
      <c r="A204" s="26" t="n"/>
      <c r="B204" s="26" t="n"/>
      <c r="C204" s="7" t="n"/>
      <c r="D204" s="7" t="n"/>
      <c r="E204" s="7" t="n"/>
      <c r="F204" s="7" t="n"/>
      <c r="G204" s="26" t="n"/>
      <c r="H204" s="8">
        <f>IF($G204="","",IFERROR(INDEX(SAN_PHAM!$D$5:$D$26,MATCH($G204,SAN_PHAM!$A$5:$A$26,0)),"Sai mã SP"))</f>
        <v/>
      </c>
      <c r="I204" s="8">
        <f>IF(OR($G204="",$A204=""),"",IFERROR(INDEX(SAN_PHAM!$L$5:$L$26,MATCH($G204,SAN_PHAM!$A$5:$A$26,0))&amp;"?sub_id=ChiGiang-"&amp;SUBSTITUTE($A204,"-","")&amp;"-FBReels-SP"&amp;TEXT($G204,"00"),""))</f>
        <v/>
      </c>
      <c r="J204" s="8">
        <f>IF($G204="","",IFERROR(INDEX(SAN_PHAM!$N$5:$N$26,MATCH($G204,SAN_PHAM!$A$5:$A$26,0)),""))</f>
        <v/>
      </c>
      <c r="K204" s="7" t="n"/>
      <c r="L204" s="7" t="n"/>
      <c r="M204" s="26" t="n"/>
      <c r="N204" s="42" t="n"/>
      <c r="O204" s="26" t="n"/>
      <c r="P204" s="7" t="n"/>
      <c r="Q204" s="43" t="n"/>
      <c r="R204" s="43" t="n"/>
      <c r="S204" s="43" t="n"/>
      <c r="T204" s="7" t="n"/>
    </row>
    <row r="205">
      <c r="A205" s="26" t="n"/>
      <c r="B205" s="26" t="n"/>
      <c r="C205" s="7" t="n"/>
      <c r="D205" s="7" t="n"/>
      <c r="E205" s="7" t="n"/>
      <c r="F205" s="7" t="n"/>
      <c r="G205" s="26" t="n"/>
      <c r="H205" s="8">
        <f>IF($G205="","",IFERROR(INDEX(SAN_PHAM!$D$5:$D$26,MATCH($G205,SAN_PHAM!$A$5:$A$26,0)),"Sai mã SP"))</f>
        <v/>
      </c>
      <c r="I205" s="8">
        <f>IF(OR($G205="",$A205=""),"",IFERROR(INDEX(SAN_PHAM!$L$5:$L$26,MATCH($G205,SAN_PHAM!$A$5:$A$26,0))&amp;"?sub_id=ChiGiang-"&amp;SUBSTITUTE($A205,"-","")&amp;"-FBReels-SP"&amp;TEXT($G205,"00"),""))</f>
        <v/>
      </c>
      <c r="J205" s="8">
        <f>IF($G205="","",IFERROR(INDEX(SAN_PHAM!$N$5:$N$26,MATCH($G205,SAN_PHAM!$A$5:$A$26,0)),""))</f>
        <v/>
      </c>
      <c r="K205" s="7" t="n"/>
      <c r="L205" s="7" t="n"/>
      <c r="M205" s="26" t="n"/>
      <c r="N205" s="42" t="n"/>
      <c r="O205" s="26" t="n"/>
      <c r="P205" s="7" t="n"/>
      <c r="Q205" s="43" t="n"/>
      <c r="R205" s="43" t="n"/>
      <c r="S205" s="43" t="n"/>
      <c r="T205" s="7" t="n"/>
    </row>
    <row r="206">
      <c r="A206" s="26" t="n"/>
      <c r="B206" s="26" t="n"/>
      <c r="C206" s="7" t="n"/>
      <c r="D206" s="7" t="n"/>
      <c r="E206" s="7" t="n"/>
      <c r="F206" s="7" t="n"/>
      <c r="G206" s="26" t="n"/>
      <c r="H206" s="8">
        <f>IF($G206="","",IFERROR(INDEX(SAN_PHAM!$D$5:$D$26,MATCH($G206,SAN_PHAM!$A$5:$A$26,0)),"Sai mã SP"))</f>
        <v/>
      </c>
      <c r="I206" s="8">
        <f>IF(OR($G206="",$A206=""),"",IFERROR(INDEX(SAN_PHAM!$L$5:$L$26,MATCH($G206,SAN_PHAM!$A$5:$A$26,0))&amp;"?sub_id=ChiGiang-"&amp;SUBSTITUTE($A206,"-","")&amp;"-FBReels-SP"&amp;TEXT($G206,"00"),""))</f>
        <v/>
      </c>
      <c r="J206" s="8">
        <f>IF($G206="","",IFERROR(INDEX(SAN_PHAM!$N$5:$N$26,MATCH($G206,SAN_PHAM!$A$5:$A$26,0)),""))</f>
        <v/>
      </c>
      <c r="K206" s="7" t="n"/>
      <c r="L206" s="7" t="n"/>
      <c r="M206" s="26" t="n"/>
      <c r="N206" s="42" t="n"/>
      <c r="O206" s="26" t="n"/>
      <c r="P206" s="7" t="n"/>
      <c r="Q206" s="43" t="n"/>
      <c r="R206" s="43" t="n"/>
      <c r="S206" s="43" t="n"/>
      <c r="T206" s="7" t="n"/>
    </row>
    <row r="207">
      <c r="A207" s="26" t="n"/>
      <c r="B207" s="26" t="n"/>
      <c r="C207" s="7" t="n"/>
      <c r="D207" s="7" t="n"/>
      <c r="E207" s="7" t="n"/>
      <c r="F207" s="7" t="n"/>
      <c r="G207" s="26" t="n"/>
      <c r="H207" s="8">
        <f>IF($G207="","",IFERROR(INDEX(SAN_PHAM!$D$5:$D$26,MATCH($G207,SAN_PHAM!$A$5:$A$26,0)),"Sai mã SP"))</f>
        <v/>
      </c>
      <c r="I207" s="8">
        <f>IF(OR($G207="",$A207=""),"",IFERROR(INDEX(SAN_PHAM!$L$5:$L$26,MATCH($G207,SAN_PHAM!$A$5:$A$26,0))&amp;"?sub_id=ChiGiang-"&amp;SUBSTITUTE($A207,"-","")&amp;"-FBReels-SP"&amp;TEXT($G207,"00"),""))</f>
        <v/>
      </c>
      <c r="J207" s="8">
        <f>IF($G207="","",IFERROR(INDEX(SAN_PHAM!$N$5:$N$26,MATCH($G207,SAN_PHAM!$A$5:$A$26,0)),""))</f>
        <v/>
      </c>
      <c r="K207" s="7" t="n"/>
      <c r="L207" s="7" t="n"/>
      <c r="M207" s="26" t="n"/>
      <c r="N207" s="42" t="n"/>
      <c r="O207" s="26" t="n"/>
      <c r="P207" s="7" t="n"/>
      <c r="Q207" s="43" t="n"/>
      <c r="R207" s="43" t="n"/>
      <c r="S207" s="43" t="n"/>
      <c r="T207" s="7" t="n"/>
    </row>
    <row r="208">
      <c r="A208" s="26" t="n"/>
      <c r="B208" s="26" t="n"/>
      <c r="C208" s="7" t="n"/>
      <c r="D208" s="7" t="n"/>
      <c r="E208" s="7" t="n"/>
      <c r="F208" s="7" t="n"/>
      <c r="G208" s="26" t="n"/>
      <c r="H208" s="8">
        <f>IF($G208="","",IFERROR(INDEX(SAN_PHAM!$D$5:$D$26,MATCH($G208,SAN_PHAM!$A$5:$A$26,0)),"Sai mã SP"))</f>
        <v/>
      </c>
      <c r="I208" s="8">
        <f>IF(OR($G208="",$A208=""),"",IFERROR(INDEX(SAN_PHAM!$L$5:$L$26,MATCH($G208,SAN_PHAM!$A$5:$A$26,0))&amp;"?sub_id=ChiGiang-"&amp;SUBSTITUTE($A208,"-","")&amp;"-FBReels-SP"&amp;TEXT($G208,"00"),""))</f>
        <v/>
      </c>
      <c r="J208" s="8">
        <f>IF($G208="","",IFERROR(INDEX(SAN_PHAM!$N$5:$N$26,MATCH($G208,SAN_PHAM!$A$5:$A$26,0)),""))</f>
        <v/>
      </c>
      <c r="K208" s="7" t="n"/>
      <c r="L208" s="7" t="n"/>
      <c r="M208" s="26" t="n"/>
      <c r="N208" s="42" t="n"/>
      <c r="O208" s="26" t="n"/>
      <c r="P208" s="7" t="n"/>
      <c r="Q208" s="43" t="n"/>
      <c r="R208" s="43" t="n"/>
      <c r="S208" s="43" t="n"/>
      <c r="T208" s="7" t="n"/>
    </row>
    <row r="209">
      <c r="A209" s="26" t="n"/>
      <c r="B209" s="26" t="n"/>
      <c r="C209" s="7" t="n"/>
      <c r="D209" s="7" t="n"/>
      <c r="E209" s="7" t="n"/>
      <c r="F209" s="7" t="n"/>
      <c r="G209" s="26" t="n"/>
      <c r="H209" s="8">
        <f>IF($G209="","",IFERROR(INDEX(SAN_PHAM!$D$5:$D$26,MATCH($G209,SAN_PHAM!$A$5:$A$26,0)),"Sai mã SP"))</f>
        <v/>
      </c>
      <c r="I209" s="8">
        <f>IF(OR($G209="",$A209=""),"",IFERROR(INDEX(SAN_PHAM!$L$5:$L$26,MATCH($G209,SAN_PHAM!$A$5:$A$26,0))&amp;"?sub_id=ChiGiang-"&amp;SUBSTITUTE($A209,"-","")&amp;"-FBReels-SP"&amp;TEXT($G209,"00"),""))</f>
        <v/>
      </c>
      <c r="J209" s="8">
        <f>IF($G209="","",IFERROR(INDEX(SAN_PHAM!$N$5:$N$26,MATCH($G209,SAN_PHAM!$A$5:$A$26,0)),""))</f>
        <v/>
      </c>
      <c r="K209" s="7" t="n"/>
      <c r="L209" s="7" t="n"/>
      <c r="M209" s="26" t="n"/>
      <c r="N209" s="42" t="n"/>
      <c r="O209" s="26" t="n"/>
      <c r="P209" s="7" t="n"/>
      <c r="Q209" s="43" t="n"/>
      <c r="R209" s="43" t="n"/>
      <c r="S209" s="43" t="n"/>
      <c r="T209" s="7" t="n"/>
    </row>
    <row r="210">
      <c r="A210" s="26" t="n"/>
      <c r="B210" s="26" t="n"/>
      <c r="C210" s="7" t="n"/>
      <c r="D210" s="7" t="n"/>
      <c r="E210" s="7" t="n"/>
      <c r="F210" s="7" t="n"/>
      <c r="G210" s="26" t="n"/>
      <c r="H210" s="8">
        <f>IF($G210="","",IFERROR(INDEX(SAN_PHAM!$D$5:$D$26,MATCH($G210,SAN_PHAM!$A$5:$A$26,0)),"Sai mã SP"))</f>
        <v/>
      </c>
      <c r="I210" s="8">
        <f>IF(OR($G210="",$A210=""),"",IFERROR(INDEX(SAN_PHAM!$L$5:$L$26,MATCH($G210,SAN_PHAM!$A$5:$A$26,0))&amp;"?sub_id=ChiGiang-"&amp;SUBSTITUTE($A210,"-","")&amp;"-FBReels-SP"&amp;TEXT($G210,"00"),""))</f>
        <v/>
      </c>
      <c r="J210" s="8">
        <f>IF($G210="","",IFERROR(INDEX(SAN_PHAM!$N$5:$N$26,MATCH($G210,SAN_PHAM!$A$5:$A$26,0)),""))</f>
        <v/>
      </c>
      <c r="K210" s="7" t="n"/>
      <c r="L210" s="7" t="n"/>
      <c r="M210" s="26" t="n"/>
      <c r="N210" s="42" t="n"/>
      <c r="O210" s="26" t="n"/>
      <c r="P210" s="7" t="n"/>
      <c r="Q210" s="43" t="n"/>
      <c r="R210" s="43" t="n"/>
      <c r="S210" s="43" t="n"/>
      <c r="T210" s="7" t="n"/>
    </row>
    <row r="211">
      <c r="A211" s="26" t="n"/>
      <c r="B211" s="26" t="n"/>
      <c r="C211" s="7" t="n"/>
      <c r="D211" s="7" t="n"/>
      <c r="E211" s="7" t="n"/>
      <c r="F211" s="7" t="n"/>
      <c r="G211" s="26" t="n"/>
      <c r="H211" s="8">
        <f>IF($G211="","",IFERROR(INDEX(SAN_PHAM!$D$5:$D$26,MATCH($G211,SAN_PHAM!$A$5:$A$26,0)),"Sai mã SP"))</f>
        <v/>
      </c>
      <c r="I211" s="8">
        <f>IF(OR($G211="",$A211=""),"",IFERROR(INDEX(SAN_PHAM!$L$5:$L$26,MATCH($G211,SAN_PHAM!$A$5:$A$26,0))&amp;"?sub_id=ChiGiang-"&amp;SUBSTITUTE($A211,"-","")&amp;"-FBReels-SP"&amp;TEXT($G211,"00"),""))</f>
        <v/>
      </c>
      <c r="J211" s="8">
        <f>IF($G211="","",IFERROR(INDEX(SAN_PHAM!$N$5:$N$26,MATCH($G211,SAN_PHAM!$A$5:$A$26,0)),""))</f>
        <v/>
      </c>
      <c r="K211" s="7" t="n"/>
      <c r="L211" s="7" t="n"/>
      <c r="M211" s="26" t="n"/>
      <c r="N211" s="42" t="n"/>
      <c r="O211" s="26" t="n"/>
      <c r="P211" s="7" t="n"/>
      <c r="Q211" s="43" t="n"/>
      <c r="R211" s="43" t="n"/>
      <c r="S211" s="43" t="n"/>
      <c r="T211" s="7" t="n"/>
    </row>
    <row r="212">
      <c r="A212" s="26" t="n"/>
      <c r="B212" s="26" t="n"/>
      <c r="C212" s="7" t="n"/>
      <c r="D212" s="7" t="n"/>
      <c r="E212" s="7" t="n"/>
      <c r="F212" s="7" t="n"/>
      <c r="G212" s="26" t="n"/>
      <c r="H212" s="8">
        <f>IF($G212="","",IFERROR(INDEX(SAN_PHAM!$D$5:$D$26,MATCH($G212,SAN_PHAM!$A$5:$A$26,0)),"Sai mã SP"))</f>
        <v/>
      </c>
      <c r="I212" s="8">
        <f>IF(OR($G212="",$A212=""),"",IFERROR(INDEX(SAN_PHAM!$L$5:$L$26,MATCH($G212,SAN_PHAM!$A$5:$A$26,0))&amp;"?sub_id=ChiGiang-"&amp;SUBSTITUTE($A212,"-","")&amp;"-FBReels-SP"&amp;TEXT($G212,"00"),""))</f>
        <v/>
      </c>
      <c r="J212" s="8">
        <f>IF($G212="","",IFERROR(INDEX(SAN_PHAM!$N$5:$N$26,MATCH($G212,SAN_PHAM!$A$5:$A$26,0)),""))</f>
        <v/>
      </c>
      <c r="K212" s="7" t="n"/>
      <c r="L212" s="7" t="n"/>
      <c r="M212" s="26" t="n"/>
      <c r="N212" s="42" t="n"/>
      <c r="O212" s="26" t="n"/>
      <c r="P212" s="7" t="n"/>
      <c r="Q212" s="43" t="n"/>
      <c r="R212" s="43" t="n"/>
      <c r="S212" s="43" t="n"/>
      <c r="T212" s="7" t="n"/>
    </row>
    <row r="213">
      <c r="A213" s="26" t="n"/>
      <c r="B213" s="26" t="n"/>
      <c r="C213" s="7" t="n"/>
      <c r="D213" s="7" t="n"/>
      <c r="E213" s="7" t="n"/>
      <c r="F213" s="7" t="n"/>
      <c r="G213" s="26" t="n"/>
      <c r="H213" s="8">
        <f>IF($G213="","",IFERROR(INDEX(SAN_PHAM!$D$5:$D$26,MATCH($G213,SAN_PHAM!$A$5:$A$26,0)),"Sai mã SP"))</f>
        <v/>
      </c>
      <c r="I213" s="8">
        <f>IF(OR($G213="",$A213=""),"",IFERROR(INDEX(SAN_PHAM!$L$5:$L$26,MATCH($G213,SAN_PHAM!$A$5:$A$26,0))&amp;"?sub_id=ChiGiang-"&amp;SUBSTITUTE($A213,"-","")&amp;"-FBReels-SP"&amp;TEXT($G213,"00"),""))</f>
        <v/>
      </c>
      <c r="J213" s="8">
        <f>IF($G213="","",IFERROR(INDEX(SAN_PHAM!$N$5:$N$26,MATCH($G213,SAN_PHAM!$A$5:$A$26,0)),""))</f>
        <v/>
      </c>
      <c r="K213" s="7" t="n"/>
      <c r="L213" s="7" t="n"/>
      <c r="M213" s="26" t="n"/>
      <c r="N213" s="42" t="n"/>
      <c r="O213" s="26" t="n"/>
      <c r="P213" s="7" t="n"/>
      <c r="Q213" s="43" t="n"/>
      <c r="R213" s="43" t="n"/>
      <c r="S213" s="43" t="n"/>
      <c r="T213" s="7" t="n"/>
    </row>
    <row r="214">
      <c r="A214" s="26" t="n"/>
      <c r="B214" s="26" t="n"/>
      <c r="C214" s="7" t="n"/>
      <c r="D214" s="7" t="n"/>
      <c r="E214" s="7" t="n"/>
      <c r="F214" s="7" t="n"/>
      <c r="G214" s="26" t="n"/>
      <c r="H214" s="8">
        <f>IF($G214="","",IFERROR(INDEX(SAN_PHAM!$D$5:$D$26,MATCH($G214,SAN_PHAM!$A$5:$A$26,0)),"Sai mã SP"))</f>
        <v/>
      </c>
      <c r="I214" s="8">
        <f>IF(OR($G214="",$A214=""),"",IFERROR(INDEX(SAN_PHAM!$L$5:$L$26,MATCH($G214,SAN_PHAM!$A$5:$A$26,0))&amp;"?sub_id=ChiGiang-"&amp;SUBSTITUTE($A214,"-","")&amp;"-FBReels-SP"&amp;TEXT($G214,"00"),""))</f>
        <v/>
      </c>
      <c r="J214" s="8">
        <f>IF($G214="","",IFERROR(INDEX(SAN_PHAM!$N$5:$N$26,MATCH($G214,SAN_PHAM!$A$5:$A$26,0)),""))</f>
        <v/>
      </c>
      <c r="K214" s="7" t="n"/>
      <c r="L214" s="7" t="n"/>
      <c r="M214" s="26" t="n"/>
      <c r="N214" s="42" t="n"/>
      <c r="O214" s="26" t="n"/>
      <c r="P214" s="7" t="n"/>
      <c r="Q214" s="43" t="n"/>
      <c r="R214" s="43" t="n"/>
      <c r="S214" s="43" t="n"/>
      <c r="T214" s="7" t="n"/>
    </row>
    <row r="215">
      <c r="A215" s="26" t="n"/>
      <c r="B215" s="26" t="n"/>
      <c r="C215" s="7" t="n"/>
      <c r="D215" s="7" t="n"/>
      <c r="E215" s="7" t="n"/>
      <c r="F215" s="7" t="n"/>
      <c r="G215" s="26" t="n"/>
      <c r="H215" s="8">
        <f>IF($G215="","",IFERROR(INDEX(SAN_PHAM!$D$5:$D$26,MATCH($G215,SAN_PHAM!$A$5:$A$26,0)),"Sai mã SP"))</f>
        <v/>
      </c>
      <c r="I215" s="8">
        <f>IF(OR($G215="",$A215=""),"",IFERROR(INDEX(SAN_PHAM!$L$5:$L$26,MATCH($G215,SAN_PHAM!$A$5:$A$26,0))&amp;"?sub_id=ChiGiang-"&amp;SUBSTITUTE($A215,"-","")&amp;"-FBReels-SP"&amp;TEXT($G215,"00"),""))</f>
        <v/>
      </c>
      <c r="J215" s="8">
        <f>IF($G215="","",IFERROR(INDEX(SAN_PHAM!$N$5:$N$26,MATCH($G215,SAN_PHAM!$A$5:$A$26,0)),""))</f>
        <v/>
      </c>
      <c r="K215" s="7" t="n"/>
      <c r="L215" s="7" t="n"/>
      <c r="M215" s="26" t="n"/>
      <c r="N215" s="42" t="n"/>
      <c r="O215" s="26" t="n"/>
      <c r="P215" s="7" t="n"/>
      <c r="Q215" s="43" t="n"/>
      <c r="R215" s="43" t="n"/>
      <c r="S215" s="43" t="n"/>
      <c r="T215" s="7" t="n"/>
    </row>
    <row r="216">
      <c r="A216" s="26" t="n"/>
      <c r="B216" s="26" t="n"/>
      <c r="C216" s="7" t="n"/>
      <c r="D216" s="7" t="n"/>
      <c r="E216" s="7" t="n"/>
      <c r="F216" s="7" t="n"/>
      <c r="G216" s="26" t="n"/>
      <c r="H216" s="8">
        <f>IF($G216="","",IFERROR(INDEX(SAN_PHAM!$D$5:$D$26,MATCH($G216,SAN_PHAM!$A$5:$A$26,0)),"Sai mã SP"))</f>
        <v/>
      </c>
      <c r="I216" s="8">
        <f>IF(OR($G216="",$A216=""),"",IFERROR(INDEX(SAN_PHAM!$L$5:$L$26,MATCH($G216,SAN_PHAM!$A$5:$A$26,0))&amp;"?sub_id=ChiGiang-"&amp;SUBSTITUTE($A216,"-","")&amp;"-FBReels-SP"&amp;TEXT($G216,"00"),""))</f>
        <v/>
      </c>
      <c r="J216" s="8">
        <f>IF($G216="","",IFERROR(INDEX(SAN_PHAM!$N$5:$N$26,MATCH($G216,SAN_PHAM!$A$5:$A$26,0)),""))</f>
        <v/>
      </c>
      <c r="K216" s="7" t="n"/>
      <c r="L216" s="7" t="n"/>
      <c r="M216" s="26" t="n"/>
      <c r="N216" s="42" t="n"/>
      <c r="O216" s="26" t="n"/>
      <c r="P216" s="7" t="n"/>
      <c r="Q216" s="43" t="n"/>
      <c r="R216" s="43" t="n"/>
      <c r="S216" s="43" t="n"/>
      <c r="T216" s="7" t="n"/>
    </row>
    <row r="217">
      <c r="A217" s="26" t="n"/>
      <c r="B217" s="26" t="n"/>
      <c r="C217" s="7" t="n"/>
      <c r="D217" s="7" t="n"/>
      <c r="E217" s="7" t="n"/>
      <c r="F217" s="7" t="n"/>
      <c r="G217" s="26" t="n"/>
      <c r="H217" s="8">
        <f>IF($G217="","",IFERROR(INDEX(SAN_PHAM!$D$5:$D$26,MATCH($G217,SAN_PHAM!$A$5:$A$26,0)),"Sai mã SP"))</f>
        <v/>
      </c>
      <c r="I217" s="8">
        <f>IF(OR($G217="",$A217=""),"",IFERROR(INDEX(SAN_PHAM!$L$5:$L$26,MATCH($G217,SAN_PHAM!$A$5:$A$26,0))&amp;"?sub_id=ChiGiang-"&amp;SUBSTITUTE($A217,"-","")&amp;"-FBReels-SP"&amp;TEXT($G217,"00"),""))</f>
        <v/>
      </c>
      <c r="J217" s="8">
        <f>IF($G217="","",IFERROR(INDEX(SAN_PHAM!$N$5:$N$26,MATCH($G217,SAN_PHAM!$A$5:$A$26,0)),""))</f>
        <v/>
      </c>
      <c r="K217" s="7" t="n"/>
      <c r="L217" s="7" t="n"/>
      <c r="M217" s="26" t="n"/>
      <c r="N217" s="42" t="n"/>
      <c r="O217" s="26" t="n"/>
      <c r="P217" s="7" t="n"/>
      <c r="Q217" s="43" t="n"/>
      <c r="R217" s="43" t="n"/>
      <c r="S217" s="43" t="n"/>
      <c r="T217" s="7" t="n"/>
    </row>
    <row r="218">
      <c r="A218" s="26" t="n"/>
      <c r="B218" s="26" t="n"/>
      <c r="C218" s="7" t="n"/>
      <c r="D218" s="7" t="n"/>
      <c r="E218" s="7" t="n"/>
      <c r="F218" s="7" t="n"/>
      <c r="G218" s="26" t="n"/>
      <c r="H218" s="8">
        <f>IF($G218="","",IFERROR(INDEX(SAN_PHAM!$D$5:$D$26,MATCH($G218,SAN_PHAM!$A$5:$A$26,0)),"Sai mã SP"))</f>
        <v/>
      </c>
      <c r="I218" s="8">
        <f>IF(OR($G218="",$A218=""),"",IFERROR(INDEX(SAN_PHAM!$L$5:$L$26,MATCH($G218,SAN_PHAM!$A$5:$A$26,0))&amp;"?sub_id=ChiGiang-"&amp;SUBSTITUTE($A218,"-","")&amp;"-FBReels-SP"&amp;TEXT($G218,"00"),""))</f>
        <v/>
      </c>
      <c r="J218" s="8">
        <f>IF($G218="","",IFERROR(INDEX(SAN_PHAM!$N$5:$N$26,MATCH($G218,SAN_PHAM!$A$5:$A$26,0)),""))</f>
        <v/>
      </c>
      <c r="K218" s="7" t="n"/>
      <c r="L218" s="7" t="n"/>
      <c r="M218" s="26" t="n"/>
      <c r="N218" s="42" t="n"/>
      <c r="O218" s="26" t="n"/>
      <c r="P218" s="7" t="n"/>
      <c r="Q218" s="43" t="n"/>
      <c r="R218" s="43" t="n"/>
      <c r="S218" s="43" t="n"/>
      <c r="T218" s="7" t="n"/>
    </row>
    <row r="219">
      <c r="A219" s="26" t="n"/>
      <c r="B219" s="26" t="n"/>
      <c r="C219" s="7" t="n"/>
      <c r="D219" s="7" t="n"/>
      <c r="E219" s="7" t="n"/>
      <c r="F219" s="7" t="n"/>
      <c r="G219" s="26" t="n"/>
      <c r="H219" s="8">
        <f>IF($G219="","",IFERROR(INDEX(SAN_PHAM!$D$5:$D$26,MATCH($G219,SAN_PHAM!$A$5:$A$26,0)),"Sai mã SP"))</f>
        <v/>
      </c>
      <c r="I219" s="8">
        <f>IF(OR($G219="",$A219=""),"",IFERROR(INDEX(SAN_PHAM!$L$5:$L$26,MATCH($G219,SAN_PHAM!$A$5:$A$26,0))&amp;"?sub_id=ChiGiang-"&amp;SUBSTITUTE($A219,"-","")&amp;"-FBReels-SP"&amp;TEXT($G219,"00"),""))</f>
        <v/>
      </c>
      <c r="J219" s="8">
        <f>IF($G219="","",IFERROR(INDEX(SAN_PHAM!$N$5:$N$26,MATCH($G219,SAN_PHAM!$A$5:$A$26,0)),""))</f>
        <v/>
      </c>
      <c r="K219" s="7" t="n"/>
      <c r="L219" s="7" t="n"/>
      <c r="M219" s="26" t="n"/>
      <c r="N219" s="42" t="n"/>
      <c r="O219" s="26" t="n"/>
      <c r="P219" s="7" t="n"/>
      <c r="Q219" s="43" t="n"/>
      <c r="R219" s="43" t="n"/>
      <c r="S219" s="43" t="n"/>
      <c r="T219" s="7" t="n"/>
    </row>
    <row r="220">
      <c r="A220" s="26" t="n"/>
      <c r="B220" s="26" t="n"/>
      <c r="C220" s="7" t="n"/>
      <c r="D220" s="7" t="n"/>
      <c r="E220" s="7" t="n"/>
      <c r="F220" s="7" t="n"/>
      <c r="G220" s="26" t="n"/>
      <c r="H220" s="8">
        <f>IF($G220="","",IFERROR(INDEX(SAN_PHAM!$D$5:$D$26,MATCH($G220,SAN_PHAM!$A$5:$A$26,0)),"Sai mã SP"))</f>
        <v/>
      </c>
      <c r="I220" s="8">
        <f>IF(OR($G220="",$A220=""),"",IFERROR(INDEX(SAN_PHAM!$L$5:$L$26,MATCH($G220,SAN_PHAM!$A$5:$A$26,0))&amp;"?sub_id=ChiGiang-"&amp;SUBSTITUTE($A220,"-","")&amp;"-FBReels-SP"&amp;TEXT($G220,"00"),""))</f>
        <v/>
      </c>
      <c r="J220" s="8">
        <f>IF($G220="","",IFERROR(INDEX(SAN_PHAM!$N$5:$N$26,MATCH($G220,SAN_PHAM!$A$5:$A$26,0)),""))</f>
        <v/>
      </c>
      <c r="K220" s="7" t="n"/>
      <c r="L220" s="7" t="n"/>
      <c r="M220" s="26" t="n"/>
      <c r="N220" s="42" t="n"/>
      <c r="O220" s="26" t="n"/>
      <c r="P220" s="7" t="n"/>
      <c r="Q220" s="43" t="n"/>
      <c r="R220" s="43" t="n"/>
      <c r="S220" s="43" t="n"/>
      <c r="T220" s="7" t="n"/>
    </row>
    <row r="221">
      <c r="A221" s="26" t="n"/>
      <c r="B221" s="26" t="n"/>
      <c r="C221" s="7" t="n"/>
      <c r="D221" s="7" t="n"/>
      <c r="E221" s="7" t="n"/>
      <c r="F221" s="7" t="n"/>
      <c r="G221" s="26" t="n"/>
      <c r="H221" s="8">
        <f>IF($G221="","",IFERROR(INDEX(SAN_PHAM!$D$5:$D$26,MATCH($G221,SAN_PHAM!$A$5:$A$26,0)),"Sai mã SP"))</f>
        <v/>
      </c>
      <c r="I221" s="8">
        <f>IF(OR($G221="",$A221=""),"",IFERROR(INDEX(SAN_PHAM!$L$5:$L$26,MATCH($G221,SAN_PHAM!$A$5:$A$26,0))&amp;"?sub_id=ChiGiang-"&amp;SUBSTITUTE($A221,"-","")&amp;"-FBReels-SP"&amp;TEXT($G221,"00"),""))</f>
        <v/>
      </c>
      <c r="J221" s="8">
        <f>IF($G221="","",IFERROR(INDEX(SAN_PHAM!$N$5:$N$26,MATCH($G221,SAN_PHAM!$A$5:$A$26,0)),""))</f>
        <v/>
      </c>
      <c r="K221" s="7" t="n"/>
      <c r="L221" s="7" t="n"/>
      <c r="M221" s="26" t="n"/>
      <c r="N221" s="42" t="n"/>
      <c r="O221" s="26" t="n"/>
      <c r="P221" s="7" t="n"/>
      <c r="Q221" s="43" t="n"/>
      <c r="R221" s="43" t="n"/>
      <c r="S221" s="43" t="n"/>
      <c r="T221" s="7" t="n"/>
    </row>
    <row r="222">
      <c r="A222" s="26" t="n"/>
      <c r="B222" s="26" t="n"/>
      <c r="C222" s="7" t="n"/>
      <c r="D222" s="7" t="n"/>
      <c r="E222" s="7" t="n"/>
      <c r="F222" s="7" t="n"/>
      <c r="G222" s="26" t="n"/>
      <c r="H222" s="8">
        <f>IF($G222="","",IFERROR(INDEX(SAN_PHAM!$D$5:$D$26,MATCH($G222,SAN_PHAM!$A$5:$A$26,0)),"Sai mã SP"))</f>
        <v/>
      </c>
      <c r="I222" s="8">
        <f>IF(OR($G222="",$A222=""),"",IFERROR(INDEX(SAN_PHAM!$L$5:$L$26,MATCH($G222,SAN_PHAM!$A$5:$A$26,0))&amp;"?sub_id=ChiGiang-"&amp;SUBSTITUTE($A222,"-","")&amp;"-FBReels-SP"&amp;TEXT($G222,"00"),""))</f>
        <v/>
      </c>
      <c r="J222" s="8">
        <f>IF($G222="","",IFERROR(INDEX(SAN_PHAM!$N$5:$N$26,MATCH($G222,SAN_PHAM!$A$5:$A$26,0)),""))</f>
        <v/>
      </c>
      <c r="K222" s="7" t="n"/>
      <c r="L222" s="7" t="n"/>
      <c r="M222" s="26" t="n"/>
      <c r="N222" s="42" t="n"/>
      <c r="O222" s="26" t="n"/>
      <c r="P222" s="7" t="n"/>
      <c r="Q222" s="43" t="n"/>
      <c r="R222" s="43" t="n"/>
      <c r="S222" s="43" t="n"/>
      <c r="T222" s="7" t="n"/>
    </row>
    <row r="223">
      <c r="A223" s="26" t="n"/>
      <c r="B223" s="26" t="n"/>
      <c r="C223" s="7" t="n"/>
      <c r="D223" s="7" t="n"/>
      <c r="E223" s="7" t="n"/>
      <c r="F223" s="7" t="n"/>
      <c r="G223" s="26" t="n"/>
      <c r="H223" s="8">
        <f>IF($G223="","",IFERROR(INDEX(SAN_PHAM!$D$5:$D$26,MATCH($G223,SAN_PHAM!$A$5:$A$26,0)),"Sai mã SP"))</f>
        <v/>
      </c>
      <c r="I223" s="8">
        <f>IF(OR($G223="",$A223=""),"",IFERROR(INDEX(SAN_PHAM!$L$5:$L$26,MATCH($G223,SAN_PHAM!$A$5:$A$26,0))&amp;"?sub_id=ChiGiang-"&amp;SUBSTITUTE($A223,"-","")&amp;"-FBReels-SP"&amp;TEXT($G223,"00"),""))</f>
        <v/>
      </c>
      <c r="J223" s="8">
        <f>IF($G223="","",IFERROR(INDEX(SAN_PHAM!$N$5:$N$26,MATCH($G223,SAN_PHAM!$A$5:$A$26,0)),""))</f>
        <v/>
      </c>
      <c r="K223" s="7" t="n"/>
      <c r="L223" s="7" t="n"/>
      <c r="M223" s="26" t="n"/>
      <c r="N223" s="42" t="n"/>
      <c r="O223" s="26" t="n"/>
      <c r="P223" s="7" t="n"/>
      <c r="Q223" s="43" t="n"/>
      <c r="R223" s="43" t="n"/>
      <c r="S223" s="43" t="n"/>
      <c r="T223" s="7" t="n"/>
    </row>
    <row r="224">
      <c r="A224" s="26" t="n"/>
      <c r="B224" s="26" t="n"/>
      <c r="C224" s="7" t="n"/>
      <c r="D224" s="7" t="n"/>
      <c r="E224" s="7" t="n"/>
      <c r="F224" s="7" t="n"/>
      <c r="G224" s="26" t="n"/>
      <c r="H224" s="8">
        <f>IF($G224="","",IFERROR(INDEX(SAN_PHAM!$D$5:$D$26,MATCH($G224,SAN_PHAM!$A$5:$A$26,0)),"Sai mã SP"))</f>
        <v/>
      </c>
      <c r="I224" s="8">
        <f>IF(OR($G224="",$A224=""),"",IFERROR(INDEX(SAN_PHAM!$L$5:$L$26,MATCH($G224,SAN_PHAM!$A$5:$A$26,0))&amp;"?sub_id=ChiGiang-"&amp;SUBSTITUTE($A224,"-","")&amp;"-FBReels-SP"&amp;TEXT($G224,"00"),""))</f>
        <v/>
      </c>
      <c r="J224" s="8">
        <f>IF($G224="","",IFERROR(INDEX(SAN_PHAM!$N$5:$N$26,MATCH($G224,SAN_PHAM!$A$5:$A$26,0)),""))</f>
        <v/>
      </c>
      <c r="K224" s="7" t="n"/>
      <c r="L224" s="7" t="n"/>
      <c r="M224" s="26" t="n"/>
      <c r="N224" s="42" t="n"/>
      <c r="O224" s="26" t="n"/>
      <c r="P224" s="7" t="n"/>
      <c r="Q224" s="43" t="n"/>
      <c r="R224" s="43" t="n"/>
      <c r="S224" s="43" t="n"/>
      <c r="T224" s="7" t="n"/>
    </row>
    <row r="225">
      <c r="A225" s="26" t="n"/>
      <c r="B225" s="26" t="n"/>
      <c r="C225" s="7" t="n"/>
      <c r="D225" s="7" t="n"/>
      <c r="E225" s="7" t="n"/>
      <c r="F225" s="7" t="n"/>
      <c r="G225" s="26" t="n"/>
      <c r="H225" s="8">
        <f>IF($G225="","",IFERROR(INDEX(SAN_PHAM!$D$5:$D$26,MATCH($G225,SAN_PHAM!$A$5:$A$26,0)),"Sai mã SP"))</f>
        <v/>
      </c>
      <c r="I225" s="8">
        <f>IF(OR($G225="",$A225=""),"",IFERROR(INDEX(SAN_PHAM!$L$5:$L$26,MATCH($G225,SAN_PHAM!$A$5:$A$26,0))&amp;"?sub_id=ChiGiang-"&amp;SUBSTITUTE($A225,"-","")&amp;"-FBReels-SP"&amp;TEXT($G225,"00"),""))</f>
        <v/>
      </c>
      <c r="J225" s="8">
        <f>IF($G225="","",IFERROR(INDEX(SAN_PHAM!$N$5:$N$26,MATCH($G225,SAN_PHAM!$A$5:$A$26,0)),""))</f>
        <v/>
      </c>
      <c r="K225" s="7" t="n"/>
      <c r="L225" s="7" t="n"/>
      <c r="M225" s="26" t="n"/>
      <c r="N225" s="42" t="n"/>
      <c r="O225" s="26" t="n"/>
      <c r="P225" s="7" t="n"/>
      <c r="Q225" s="43" t="n"/>
      <c r="R225" s="43" t="n"/>
      <c r="S225" s="43" t="n"/>
      <c r="T225" s="7" t="n"/>
    </row>
    <row r="226">
      <c r="A226" s="26" t="n"/>
      <c r="B226" s="26" t="n"/>
      <c r="C226" s="7" t="n"/>
      <c r="D226" s="7" t="n"/>
      <c r="E226" s="7" t="n"/>
      <c r="F226" s="7" t="n"/>
      <c r="G226" s="26" t="n"/>
      <c r="H226" s="8">
        <f>IF($G226="","",IFERROR(INDEX(SAN_PHAM!$D$5:$D$26,MATCH($G226,SAN_PHAM!$A$5:$A$26,0)),"Sai mã SP"))</f>
        <v/>
      </c>
      <c r="I226" s="8">
        <f>IF(OR($G226="",$A226=""),"",IFERROR(INDEX(SAN_PHAM!$L$5:$L$26,MATCH($G226,SAN_PHAM!$A$5:$A$26,0))&amp;"?sub_id=ChiGiang-"&amp;SUBSTITUTE($A226,"-","")&amp;"-FBReels-SP"&amp;TEXT($G226,"00"),""))</f>
        <v/>
      </c>
      <c r="J226" s="8">
        <f>IF($G226="","",IFERROR(INDEX(SAN_PHAM!$N$5:$N$26,MATCH($G226,SAN_PHAM!$A$5:$A$26,0)),""))</f>
        <v/>
      </c>
      <c r="K226" s="7" t="n"/>
      <c r="L226" s="7" t="n"/>
      <c r="M226" s="26" t="n"/>
      <c r="N226" s="42" t="n"/>
      <c r="O226" s="26" t="n"/>
      <c r="P226" s="7" t="n"/>
      <c r="Q226" s="43" t="n"/>
      <c r="R226" s="43" t="n"/>
      <c r="S226" s="43" t="n"/>
      <c r="T226" s="7" t="n"/>
    </row>
    <row r="227">
      <c r="A227" s="26" t="n"/>
      <c r="B227" s="26" t="n"/>
      <c r="C227" s="7" t="n"/>
      <c r="D227" s="7" t="n"/>
      <c r="E227" s="7" t="n"/>
      <c r="F227" s="7" t="n"/>
      <c r="G227" s="26" t="n"/>
      <c r="H227" s="8">
        <f>IF($G227="","",IFERROR(INDEX(SAN_PHAM!$D$5:$D$26,MATCH($G227,SAN_PHAM!$A$5:$A$26,0)),"Sai mã SP"))</f>
        <v/>
      </c>
      <c r="I227" s="8">
        <f>IF(OR($G227="",$A227=""),"",IFERROR(INDEX(SAN_PHAM!$L$5:$L$26,MATCH($G227,SAN_PHAM!$A$5:$A$26,0))&amp;"?sub_id=ChiGiang-"&amp;SUBSTITUTE($A227,"-","")&amp;"-FBReels-SP"&amp;TEXT($G227,"00"),""))</f>
        <v/>
      </c>
      <c r="J227" s="8">
        <f>IF($G227="","",IFERROR(INDEX(SAN_PHAM!$N$5:$N$26,MATCH($G227,SAN_PHAM!$A$5:$A$26,0)),""))</f>
        <v/>
      </c>
      <c r="K227" s="7" t="n"/>
      <c r="L227" s="7" t="n"/>
      <c r="M227" s="26" t="n"/>
      <c r="N227" s="42" t="n"/>
      <c r="O227" s="26" t="n"/>
      <c r="P227" s="7" t="n"/>
      <c r="Q227" s="43" t="n"/>
      <c r="R227" s="43" t="n"/>
      <c r="S227" s="43" t="n"/>
      <c r="T227" s="7" t="n"/>
    </row>
    <row r="228">
      <c r="A228" s="26" t="n"/>
      <c r="B228" s="26" t="n"/>
      <c r="C228" s="7" t="n"/>
      <c r="D228" s="7" t="n"/>
      <c r="E228" s="7" t="n"/>
      <c r="F228" s="7" t="n"/>
      <c r="G228" s="26" t="n"/>
      <c r="H228" s="8">
        <f>IF($G228="","",IFERROR(INDEX(SAN_PHAM!$D$5:$D$26,MATCH($G228,SAN_PHAM!$A$5:$A$26,0)),"Sai mã SP"))</f>
        <v/>
      </c>
      <c r="I228" s="8">
        <f>IF(OR($G228="",$A228=""),"",IFERROR(INDEX(SAN_PHAM!$L$5:$L$26,MATCH($G228,SAN_PHAM!$A$5:$A$26,0))&amp;"?sub_id=ChiGiang-"&amp;SUBSTITUTE($A228,"-","")&amp;"-FBReels-SP"&amp;TEXT($G228,"00"),""))</f>
        <v/>
      </c>
      <c r="J228" s="8">
        <f>IF($G228="","",IFERROR(INDEX(SAN_PHAM!$N$5:$N$26,MATCH($G228,SAN_PHAM!$A$5:$A$26,0)),""))</f>
        <v/>
      </c>
      <c r="K228" s="7" t="n"/>
      <c r="L228" s="7" t="n"/>
      <c r="M228" s="26" t="n"/>
      <c r="N228" s="42" t="n"/>
      <c r="O228" s="26" t="n"/>
      <c r="P228" s="7" t="n"/>
      <c r="Q228" s="43" t="n"/>
      <c r="R228" s="43" t="n"/>
      <c r="S228" s="43" t="n"/>
      <c r="T228" s="7" t="n"/>
    </row>
    <row r="229">
      <c r="A229" s="26" t="n"/>
      <c r="B229" s="26" t="n"/>
      <c r="C229" s="7" t="n"/>
      <c r="D229" s="7" t="n"/>
      <c r="E229" s="7" t="n"/>
      <c r="F229" s="7" t="n"/>
      <c r="G229" s="26" t="n"/>
      <c r="H229" s="8">
        <f>IF($G229="","",IFERROR(INDEX(SAN_PHAM!$D$5:$D$26,MATCH($G229,SAN_PHAM!$A$5:$A$26,0)),"Sai mã SP"))</f>
        <v/>
      </c>
      <c r="I229" s="8">
        <f>IF(OR($G229="",$A229=""),"",IFERROR(INDEX(SAN_PHAM!$L$5:$L$26,MATCH($G229,SAN_PHAM!$A$5:$A$26,0))&amp;"?sub_id=ChiGiang-"&amp;SUBSTITUTE($A229,"-","")&amp;"-FBReels-SP"&amp;TEXT($G229,"00"),""))</f>
        <v/>
      </c>
      <c r="J229" s="8">
        <f>IF($G229="","",IFERROR(INDEX(SAN_PHAM!$N$5:$N$26,MATCH($G229,SAN_PHAM!$A$5:$A$26,0)),""))</f>
        <v/>
      </c>
      <c r="K229" s="7" t="n"/>
      <c r="L229" s="7" t="n"/>
      <c r="M229" s="26" t="n"/>
      <c r="N229" s="42" t="n"/>
      <c r="O229" s="26" t="n"/>
      <c r="P229" s="7" t="n"/>
      <c r="Q229" s="43" t="n"/>
      <c r="R229" s="43" t="n"/>
      <c r="S229" s="43" t="n"/>
      <c r="T229" s="7" t="n"/>
    </row>
    <row r="230">
      <c r="A230" s="26" t="n"/>
      <c r="B230" s="26" t="n"/>
      <c r="C230" s="7" t="n"/>
      <c r="D230" s="7" t="n"/>
      <c r="E230" s="7" t="n"/>
      <c r="F230" s="7" t="n"/>
      <c r="G230" s="26" t="n"/>
      <c r="H230" s="8">
        <f>IF($G230="","",IFERROR(INDEX(SAN_PHAM!$D$5:$D$26,MATCH($G230,SAN_PHAM!$A$5:$A$26,0)),"Sai mã SP"))</f>
        <v/>
      </c>
      <c r="I230" s="8">
        <f>IF(OR($G230="",$A230=""),"",IFERROR(INDEX(SAN_PHAM!$L$5:$L$26,MATCH($G230,SAN_PHAM!$A$5:$A$26,0))&amp;"?sub_id=ChiGiang-"&amp;SUBSTITUTE($A230,"-","")&amp;"-FBReels-SP"&amp;TEXT($G230,"00"),""))</f>
        <v/>
      </c>
      <c r="J230" s="8">
        <f>IF($G230="","",IFERROR(INDEX(SAN_PHAM!$N$5:$N$26,MATCH($G230,SAN_PHAM!$A$5:$A$26,0)),""))</f>
        <v/>
      </c>
      <c r="K230" s="7" t="n"/>
      <c r="L230" s="7" t="n"/>
      <c r="M230" s="26" t="n"/>
      <c r="N230" s="42" t="n"/>
      <c r="O230" s="26" t="n"/>
      <c r="P230" s="7" t="n"/>
      <c r="Q230" s="43" t="n"/>
      <c r="R230" s="43" t="n"/>
      <c r="S230" s="43" t="n"/>
      <c r="T230" s="7" t="n"/>
    </row>
    <row r="231">
      <c r="A231" s="26" t="n"/>
      <c r="B231" s="26" t="n"/>
      <c r="C231" s="7" t="n"/>
      <c r="D231" s="7" t="n"/>
      <c r="E231" s="7" t="n"/>
      <c r="F231" s="7" t="n"/>
      <c r="G231" s="26" t="n"/>
      <c r="H231" s="8">
        <f>IF($G231="","",IFERROR(INDEX(SAN_PHAM!$D$5:$D$26,MATCH($G231,SAN_PHAM!$A$5:$A$26,0)),"Sai mã SP"))</f>
        <v/>
      </c>
      <c r="I231" s="8">
        <f>IF(OR($G231="",$A231=""),"",IFERROR(INDEX(SAN_PHAM!$L$5:$L$26,MATCH($G231,SAN_PHAM!$A$5:$A$26,0))&amp;"?sub_id=ChiGiang-"&amp;SUBSTITUTE($A231,"-","")&amp;"-FBReels-SP"&amp;TEXT($G231,"00"),""))</f>
        <v/>
      </c>
      <c r="J231" s="8">
        <f>IF($G231="","",IFERROR(INDEX(SAN_PHAM!$N$5:$N$26,MATCH($G231,SAN_PHAM!$A$5:$A$26,0)),""))</f>
        <v/>
      </c>
      <c r="K231" s="7" t="n"/>
      <c r="L231" s="7" t="n"/>
      <c r="M231" s="26" t="n"/>
      <c r="N231" s="42" t="n"/>
      <c r="O231" s="26" t="n"/>
      <c r="P231" s="7" t="n"/>
      <c r="Q231" s="43" t="n"/>
      <c r="R231" s="43" t="n"/>
      <c r="S231" s="43" t="n"/>
      <c r="T231" s="7" t="n"/>
    </row>
    <row r="232">
      <c r="A232" s="26" t="n"/>
      <c r="B232" s="26" t="n"/>
      <c r="C232" s="7" t="n"/>
      <c r="D232" s="7" t="n"/>
      <c r="E232" s="7" t="n"/>
      <c r="F232" s="7" t="n"/>
      <c r="G232" s="26" t="n"/>
      <c r="H232" s="8">
        <f>IF($G232="","",IFERROR(INDEX(SAN_PHAM!$D$5:$D$26,MATCH($G232,SAN_PHAM!$A$5:$A$26,0)),"Sai mã SP"))</f>
        <v/>
      </c>
      <c r="I232" s="8">
        <f>IF(OR($G232="",$A232=""),"",IFERROR(INDEX(SAN_PHAM!$L$5:$L$26,MATCH($G232,SAN_PHAM!$A$5:$A$26,0))&amp;"?sub_id=ChiGiang-"&amp;SUBSTITUTE($A232,"-","")&amp;"-FBReels-SP"&amp;TEXT($G232,"00"),""))</f>
        <v/>
      </c>
      <c r="J232" s="8">
        <f>IF($G232="","",IFERROR(INDEX(SAN_PHAM!$N$5:$N$26,MATCH($G232,SAN_PHAM!$A$5:$A$26,0)),""))</f>
        <v/>
      </c>
      <c r="K232" s="7" t="n"/>
      <c r="L232" s="7" t="n"/>
      <c r="M232" s="26" t="n"/>
      <c r="N232" s="42" t="n"/>
      <c r="O232" s="26" t="n"/>
      <c r="P232" s="7" t="n"/>
      <c r="Q232" s="43" t="n"/>
      <c r="R232" s="43" t="n"/>
      <c r="S232" s="43" t="n"/>
      <c r="T232" s="7" t="n"/>
    </row>
    <row r="233">
      <c r="A233" s="26" t="n"/>
      <c r="B233" s="26" t="n"/>
      <c r="C233" s="7" t="n"/>
      <c r="D233" s="7" t="n"/>
      <c r="E233" s="7" t="n"/>
      <c r="F233" s="7" t="n"/>
      <c r="G233" s="26" t="n"/>
      <c r="H233" s="8">
        <f>IF($G233="","",IFERROR(INDEX(SAN_PHAM!$D$5:$D$26,MATCH($G233,SAN_PHAM!$A$5:$A$26,0)),"Sai mã SP"))</f>
        <v/>
      </c>
      <c r="I233" s="8">
        <f>IF(OR($G233="",$A233=""),"",IFERROR(INDEX(SAN_PHAM!$L$5:$L$26,MATCH($G233,SAN_PHAM!$A$5:$A$26,0))&amp;"?sub_id=ChiGiang-"&amp;SUBSTITUTE($A233,"-","")&amp;"-FBReels-SP"&amp;TEXT($G233,"00"),""))</f>
        <v/>
      </c>
      <c r="J233" s="8">
        <f>IF($G233="","",IFERROR(INDEX(SAN_PHAM!$N$5:$N$26,MATCH($G233,SAN_PHAM!$A$5:$A$26,0)),""))</f>
        <v/>
      </c>
      <c r="K233" s="7" t="n"/>
      <c r="L233" s="7" t="n"/>
      <c r="M233" s="26" t="n"/>
      <c r="N233" s="42" t="n"/>
      <c r="O233" s="26" t="n"/>
      <c r="P233" s="7" t="n"/>
      <c r="Q233" s="43" t="n"/>
      <c r="R233" s="43" t="n"/>
      <c r="S233" s="43" t="n"/>
      <c r="T233" s="7" t="n"/>
    </row>
    <row r="234">
      <c r="A234" s="26" t="n"/>
      <c r="B234" s="26" t="n"/>
      <c r="C234" s="7" t="n"/>
      <c r="D234" s="7" t="n"/>
      <c r="E234" s="7" t="n"/>
      <c r="F234" s="7" t="n"/>
      <c r="G234" s="26" t="n"/>
      <c r="H234" s="8">
        <f>IF($G234="","",IFERROR(INDEX(SAN_PHAM!$D$5:$D$26,MATCH($G234,SAN_PHAM!$A$5:$A$26,0)),"Sai mã SP"))</f>
        <v/>
      </c>
      <c r="I234" s="8">
        <f>IF(OR($G234="",$A234=""),"",IFERROR(INDEX(SAN_PHAM!$L$5:$L$26,MATCH($G234,SAN_PHAM!$A$5:$A$26,0))&amp;"?sub_id=ChiGiang-"&amp;SUBSTITUTE($A234,"-","")&amp;"-FBReels-SP"&amp;TEXT($G234,"00"),""))</f>
        <v/>
      </c>
      <c r="J234" s="8">
        <f>IF($G234="","",IFERROR(INDEX(SAN_PHAM!$N$5:$N$26,MATCH($G234,SAN_PHAM!$A$5:$A$26,0)),""))</f>
        <v/>
      </c>
      <c r="K234" s="7" t="n"/>
      <c r="L234" s="7" t="n"/>
      <c r="M234" s="26" t="n"/>
      <c r="N234" s="42" t="n"/>
      <c r="O234" s="26" t="n"/>
      <c r="P234" s="7" t="n"/>
      <c r="Q234" s="43" t="n"/>
      <c r="R234" s="43" t="n"/>
      <c r="S234" s="43" t="n"/>
      <c r="T234" s="7" t="n"/>
    </row>
    <row r="235">
      <c r="A235" s="26" t="n"/>
      <c r="B235" s="26" t="n"/>
      <c r="C235" s="7" t="n"/>
      <c r="D235" s="7" t="n"/>
      <c r="E235" s="7" t="n"/>
      <c r="F235" s="7" t="n"/>
      <c r="G235" s="26" t="n"/>
      <c r="H235" s="8">
        <f>IF($G235="","",IFERROR(INDEX(SAN_PHAM!$D$5:$D$26,MATCH($G235,SAN_PHAM!$A$5:$A$26,0)),"Sai mã SP"))</f>
        <v/>
      </c>
      <c r="I235" s="8">
        <f>IF(OR($G235="",$A235=""),"",IFERROR(INDEX(SAN_PHAM!$L$5:$L$26,MATCH($G235,SAN_PHAM!$A$5:$A$26,0))&amp;"?sub_id=ChiGiang-"&amp;SUBSTITUTE($A235,"-","")&amp;"-FBReels-SP"&amp;TEXT($G235,"00"),""))</f>
        <v/>
      </c>
      <c r="J235" s="8">
        <f>IF($G235="","",IFERROR(INDEX(SAN_PHAM!$N$5:$N$26,MATCH($G235,SAN_PHAM!$A$5:$A$26,0)),""))</f>
        <v/>
      </c>
      <c r="K235" s="7" t="n"/>
      <c r="L235" s="7" t="n"/>
      <c r="M235" s="26" t="n"/>
      <c r="N235" s="42" t="n"/>
      <c r="O235" s="26" t="n"/>
      <c r="P235" s="7" t="n"/>
      <c r="Q235" s="43" t="n"/>
      <c r="R235" s="43" t="n"/>
      <c r="S235" s="43" t="n"/>
      <c r="T235" s="7" t="n"/>
    </row>
    <row r="236">
      <c r="A236" s="26" t="n"/>
      <c r="B236" s="26" t="n"/>
      <c r="C236" s="7" t="n"/>
      <c r="D236" s="7" t="n"/>
      <c r="E236" s="7" t="n"/>
      <c r="F236" s="7" t="n"/>
      <c r="G236" s="26" t="n"/>
      <c r="H236" s="8">
        <f>IF($G236="","",IFERROR(INDEX(SAN_PHAM!$D$5:$D$26,MATCH($G236,SAN_PHAM!$A$5:$A$26,0)),"Sai mã SP"))</f>
        <v/>
      </c>
      <c r="I236" s="8">
        <f>IF(OR($G236="",$A236=""),"",IFERROR(INDEX(SAN_PHAM!$L$5:$L$26,MATCH($G236,SAN_PHAM!$A$5:$A$26,0))&amp;"?sub_id=ChiGiang-"&amp;SUBSTITUTE($A236,"-","")&amp;"-FBReels-SP"&amp;TEXT($G236,"00"),""))</f>
        <v/>
      </c>
      <c r="J236" s="8">
        <f>IF($G236="","",IFERROR(INDEX(SAN_PHAM!$N$5:$N$26,MATCH($G236,SAN_PHAM!$A$5:$A$26,0)),""))</f>
        <v/>
      </c>
      <c r="K236" s="7" t="n"/>
      <c r="L236" s="7" t="n"/>
      <c r="M236" s="26" t="n"/>
      <c r="N236" s="42" t="n"/>
      <c r="O236" s="26" t="n"/>
      <c r="P236" s="7" t="n"/>
      <c r="Q236" s="43" t="n"/>
      <c r="R236" s="43" t="n"/>
      <c r="S236" s="43" t="n"/>
      <c r="T236" s="7" t="n"/>
    </row>
    <row r="237">
      <c r="A237" s="26" t="n"/>
      <c r="B237" s="26" t="n"/>
      <c r="C237" s="7" t="n"/>
      <c r="D237" s="7" t="n"/>
      <c r="E237" s="7" t="n"/>
      <c r="F237" s="7" t="n"/>
      <c r="G237" s="26" t="n"/>
      <c r="H237" s="8">
        <f>IF($G237="","",IFERROR(INDEX(SAN_PHAM!$D$5:$D$26,MATCH($G237,SAN_PHAM!$A$5:$A$26,0)),"Sai mã SP"))</f>
        <v/>
      </c>
      <c r="I237" s="8">
        <f>IF(OR($G237="",$A237=""),"",IFERROR(INDEX(SAN_PHAM!$L$5:$L$26,MATCH($G237,SAN_PHAM!$A$5:$A$26,0))&amp;"?sub_id=ChiGiang-"&amp;SUBSTITUTE($A237,"-","")&amp;"-FBReels-SP"&amp;TEXT($G237,"00"),""))</f>
        <v/>
      </c>
      <c r="J237" s="8">
        <f>IF($G237="","",IFERROR(INDEX(SAN_PHAM!$N$5:$N$26,MATCH($G237,SAN_PHAM!$A$5:$A$26,0)),""))</f>
        <v/>
      </c>
      <c r="K237" s="7" t="n"/>
      <c r="L237" s="7" t="n"/>
      <c r="M237" s="26" t="n"/>
      <c r="N237" s="42" t="n"/>
      <c r="O237" s="26" t="n"/>
      <c r="P237" s="7" t="n"/>
      <c r="Q237" s="43" t="n"/>
      <c r="R237" s="43" t="n"/>
      <c r="S237" s="43" t="n"/>
      <c r="T237" s="7" t="n"/>
    </row>
    <row r="238">
      <c r="A238" s="26" t="n"/>
      <c r="B238" s="26" t="n"/>
      <c r="C238" s="7" t="n"/>
      <c r="D238" s="7" t="n"/>
      <c r="E238" s="7" t="n"/>
      <c r="F238" s="7" t="n"/>
      <c r="G238" s="26" t="n"/>
      <c r="H238" s="8">
        <f>IF($G238="","",IFERROR(INDEX(SAN_PHAM!$D$5:$D$26,MATCH($G238,SAN_PHAM!$A$5:$A$26,0)),"Sai mã SP"))</f>
        <v/>
      </c>
      <c r="I238" s="8">
        <f>IF(OR($G238="",$A238=""),"",IFERROR(INDEX(SAN_PHAM!$L$5:$L$26,MATCH($G238,SAN_PHAM!$A$5:$A$26,0))&amp;"?sub_id=ChiGiang-"&amp;SUBSTITUTE($A238,"-","")&amp;"-FBReels-SP"&amp;TEXT($G238,"00"),""))</f>
        <v/>
      </c>
      <c r="J238" s="8">
        <f>IF($G238="","",IFERROR(INDEX(SAN_PHAM!$N$5:$N$26,MATCH($G238,SAN_PHAM!$A$5:$A$26,0)),""))</f>
        <v/>
      </c>
      <c r="K238" s="7" t="n"/>
      <c r="L238" s="7" t="n"/>
      <c r="M238" s="26" t="n"/>
      <c r="N238" s="42" t="n"/>
      <c r="O238" s="26" t="n"/>
      <c r="P238" s="7" t="n"/>
      <c r="Q238" s="43" t="n"/>
      <c r="R238" s="43" t="n"/>
      <c r="S238" s="43" t="n"/>
      <c r="T238" s="7" t="n"/>
    </row>
    <row r="239">
      <c r="A239" s="26" t="n"/>
      <c r="B239" s="26" t="n"/>
      <c r="C239" s="7" t="n"/>
      <c r="D239" s="7" t="n"/>
      <c r="E239" s="7" t="n"/>
      <c r="F239" s="7" t="n"/>
      <c r="G239" s="26" t="n"/>
      <c r="H239" s="8">
        <f>IF($G239="","",IFERROR(INDEX(SAN_PHAM!$D$5:$D$26,MATCH($G239,SAN_PHAM!$A$5:$A$26,0)),"Sai mã SP"))</f>
        <v/>
      </c>
      <c r="I239" s="8">
        <f>IF(OR($G239="",$A239=""),"",IFERROR(INDEX(SAN_PHAM!$L$5:$L$26,MATCH($G239,SAN_PHAM!$A$5:$A$26,0))&amp;"?sub_id=ChiGiang-"&amp;SUBSTITUTE($A239,"-","")&amp;"-FBReels-SP"&amp;TEXT($G239,"00"),""))</f>
        <v/>
      </c>
      <c r="J239" s="8">
        <f>IF($G239="","",IFERROR(INDEX(SAN_PHAM!$N$5:$N$26,MATCH($G239,SAN_PHAM!$A$5:$A$26,0)),""))</f>
        <v/>
      </c>
      <c r="K239" s="7" t="n"/>
      <c r="L239" s="7" t="n"/>
      <c r="M239" s="26" t="n"/>
      <c r="N239" s="42" t="n"/>
      <c r="O239" s="26" t="n"/>
      <c r="P239" s="7" t="n"/>
      <c r="Q239" s="43" t="n"/>
      <c r="R239" s="43" t="n"/>
      <c r="S239" s="43" t="n"/>
      <c r="T239" s="7" t="n"/>
    </row>
    <row r="240">
      <c r="A240" s="26" t="n"/>
      <c r="B240" s="26" t="n"/>
      <c r="C240" s="7" t="n"/>
      <c r="D240" s="7" t="n"/>
      <c r="E240" s="7" t="n"/>
      <c r="F240" s="7" t="n"/>
      <c r="G240" s="26" t="n"/>
      <c r="H240" s="8">
        <f>IF($G240="","",IFERROR(INDEX(SAN_PHAM!$D$5:$D$26,MATCH($G240,SAN_PHAM!$A$5:$A$26,0)),"Sai mã SP"))</f>
        <v/>
      </c>
      <c r="I240" s="8">
        <f>IF(OR($G240="",$A240=""),"",IFERROR(INDEX(SAN_PHAM!$L$5:$L$26,MATCH($G240,SAN_PHAM!$A$5:$A$26,0))&amp;"?sub_id=ChiGiang-"&amp;SUBSTITUTE($A240,"-","")&amp;"-FBReels-SP"&amp;TEXT($G240,"00"),""))</f>
        <v/>
      </c>
      <c r="J240" s="8">
        <f>IF($G240="","",IFERROR(INDEX(SAN_PHAM!$N$5:$N$26,MATCH($G240,SAN_PHAM!$A$5:$A$26,0)),""))</f>
        <v/>
      </c>
      <c r="K240" s="7" t="n"/>
      <c r="L240" s="7" t="n"/>
      <c r="M240" s="26" t="n"/>
      <c r="N240" s="42" t="n"/>
      <c r="O240" s="26" t="n"/>
      <c r="P240" s="7" t="n"/>
      <c r="Q240" s="43" t="n"/>
      <c r="R240" s="43" t="n"/>
      <c r="S240" s="43" t="n"/>
      <c r="T240" s="7" t="n"/>
    </row>
    <row r="241">
      <c r="A241" s="26" t="n"/>
      <c r="B241" s="26" t="n"/>
      <c r="C241" s="7" t="n"/>
      <c r="D241" s="7" t="n"/>
      <c r="E241" s="7" t="n"/>
      <c r="F241" s="7" t="n"/>
      <c r="G241" s="26" t="n"/>
      <c r="H241" s="8">
        <f>IF($G241="","",IFERROR(INDEX(SAN_PHAM!$D$5:$D$26,MATCH($G241,SAN_PHAM!$A$5:$A$26,0)),"Sai mã SP"))</f>
        <v/>
      </c>
      <c r="I241" s="8">
        <f>IF(OR($G241="",$A241=""),"",IFERROR(INDEX(SAN_PHAM!$L$5:$L$26,MATCH($G241,SAN_PHAM!$A$5:$A$26,0))&amp;"?sub_id=ChiGiang-"&amp;SUBSTITUTE($A241,"-","")&amp;"-FBReels-SP"&amp;TEXT($G241,"00"),""))</f>
        <v/>
      </c>
      <c r="J241" s="8">
        <f>IF($G241="","",IFERROR(INDEX(SAN_PHAM!$N$5:$N$26,MATCH($G241,SAN_PHAM!$A$5:$A$26,0)),""))</f>
        <v/>
      </c>
      <c r="K241" s="7" t="n"/>
      <c r="L241" s="7" t="n"/>
      <c r="M241" s="26" t="n"/>
      <c r="N241" s="42" t="n"/>
      <c r="O241" s="26" t="n"/>
      <c r="P241" s="7" t="n"/>
      <c r="Q241" s="43" t="n"/>
      <c r="R241" s="43" t="n"/>
      <c r="S241" s="43" t="n"/>
      <c r="T241" s="7" t="n"/>
    </row>
    <row r="242">
      <c r="A242" s="26" t="n"/>
      <c r="B242" s="26" t="n"/>
      <c r="C242" s="7" t="n"/>
      <c r="D242" s="7" t="n"/>
      <c r="E242" s="7" t="n"/>
      <c r="F242" s="7" t="n"/>
      <c r="G242" s="26" t="n"/>
      <c r="H242" s="8">
        <f>IF($G242="","",IFERROR(INDEX(SAN_PHAM!$D$5:$D$26,MATCH($G242,SAN_PHAM!$A$5:$A$26,0)),"Sai mã SP"))</f>
        <v/>
      </c>
      <c r="I242" s="8">
        <f>IF(OR($G242="",$A242=""),"",IFERROR(INDEX(SAN_PHAM!$L$5:$L$26,MATCH($G242,SAN_PHAM!$A$5:$A$26,0))&amp;"?sub_id=ChiGiang-"&amp;SUBSTITUTE($A242,"-","")&amp;"-FBReels-SP"&amp;TEXT($G242,"00"),""))</f>
        <v/>
      </c>
      <c r="J242" s="8">
        <f>IF($G242="","",IFERROR(INDEX(SAN_PHAM!$N$5:$N$26,MATCH($G242,SAN_PHAM!$A$5:$A$26,0)),""))</f>
        <v/>
      </c>
      <c r="K242" s="7" t="n"/>
      <c r="L242" s="7" t="n"/>
      <c r="M242" s="26" t="n"/>
      <c r="N242" s="42" t="n"/>
      <c r="O242" s="26" t="n"/>
      <c r="P242" s="7" t="n"/>
      <c r="Q242" s="43" t="n"/>
      <c r="R242" s="43" t="n"/>
      <c r="S242" s="43" t="n"/>
      <c r="T242" s="7" t="n"/>
    </row>
    <row r="243">
      <c r="A243" s="26" t="n"/>
      <c r="B243" s="26" t="n"/>
      <c r="C243" s="7" t="n"/>
      <c r="D243" s="7" t="n"/>
      <c r="E243" s="7" t="n"/>
      <c r="F243" s="7" t="n"/>
      <c r="G243" s="26" t="n"/>
      <c r="H243" s="8">
        <f>IF($G243="","",IFERROR(INDEX(SAN_PHAM!$D$5:$D$26,MATCH($G243,SAN_PHAM!$A$5:$A$26,0)),"Sai mã SP"))</f>
        <v/>
      </c>
      <c r="I243" s="8">
        <f>IF(OR($G243="",$A243=""),"",IFERROR(INDEX(SAN_PHAM!$L$5:$L$26,MATCH($G243,SAN_PHAM!$A$5:$A$26,0))&amp;"?sub_id=ChiGiang-"&amp;SUBSTITUTE($A243,"-","")&amp;"-FBReels-SP"&amp;TEXT($G243,"00"),""))</f>
        <v/>
      </c>
      <c r="J243" s="8">
        <f>IF($G243="","",IFERROR(INDEX(SAN_PHAM!$N$5:$N$26,MATCH($G243,SAN_PHAM!$A$5:$A$26,0)),""))</f>
        <v/>
      </c>
      <c r="K243" s="7" t="n"/>
      <c r="L243" s="7" t="n"/>
      <c r="M243" s="26" t="n"/>
      <c r="N243" s="42" t="n"/>
      <c r="O243" s="26" t="n"/>
      <c r="P243" s="7" t="n"/>
      <c r="Q243" s="43" t="n"/>
      <c r="R243" s="43" t="n"/>
      <c r="S243" s="43" t="n"/>
      <c r="T243" s="7" t="n"/>
    </row>
    <row r="244">
      <c r="A244" s="26" t="n"/>
      <c r="B244" s="26" t="n"/>
      <c r="C244" s="7" t="n"/>
      <c r="D244" s="7" t="n"/>
      <c r="E244" s="7" t="n"/>
      <c r="F244" s="7" t="n"/>
      <c r="G244" s="26" t="n"/>
      <c r="H244" s="8">
        <f>IF($G244="","",IFERROR(INDEX(SAN_PHAM!$D$5:$D$26,MATCH($G244,SAN_PHAM!$A$5:$A$26,0)),"Sai mã SP"))</f>
        <v/>
      </c>
      <c r="I244" s="8">
        <f>IF(OR($G244="",$A244=""),"",IFERROR(INDEX(SAN_PHAM!$L$5:$L$26,MATCH($G244,SAN_PHAM!$A$5:$A$26,0))&amp;"?sub_id=ChiGiang-"&amp;SUBSTITUTE($A244,"-","")&amp;"-FBReels-SP"&amp;TEXT($G244,"00"),""))</f>
        <v/>
      </c>
      <c r="J244" s="8">
        <f>IF($G244="","",IFERROR(INDEX(SAN_PHAM!$N$5:$N$26,MATCH($G244,SAN_PHAM!$A$5:$A$26,0)),""))</f>
        <v/>
      </c>
      <c r="K244" s="7" t="n"/>
      <c r="L244" s="7" t="n"/>
      <c r="M244" s="26" t="n"/>
      <c r="N244" s="42" t="n"/>
      <c r="O244" s="26" t="n"/>
      <c r="P244" s="7" t="n"/>
      <c r="Q244" s="43" t="n"/>
      <c r="R244" s="43" t="n"/>
      <c r="S244" s="43" t="n"/>
      <c r="T244" s="7" t="n"/>
    </row>
    <row r="245">
      <c r="A245" s="26" t="n"/>
      <c r="B245" s="26" t="n"/>
      <c r="C245" s="7" t="n"/>
      <c r="D245" s="7" t="n"/>
      <c r="E245" s="7" t="n"/>
      <c r="F245" s="7" t="n"/>
      <c r="G245" s="26" t="n"/>
      <c r="H245" s="8">
        <f>IF($G245="","",IFERROR(INDEX(SAN_PHAM!$D$5:$D$26,MATCH($G245,SAN_PHAM!$A$5:$A$26,0)),"Sai mã SP"))</f>
        <v/>
      </c>
      <c r="I245" s="8">
        <f>IF(OR($G245="",$A245=""),"",IFERROR(INDEX(SAN_PHAM!$L$5:$L$26,MATCH($G245,SAN_PHAM!$A$5:$A$26,0))&amp;"?sub_id=ChiGiang-"&amp;SUBSTITUTE($A245,"-","")&amp;"-FBReels-SP"&amp;TEXT($G245,"00"),""))</f>
        <v/>
      </c>
      <c r="J245" s="8">
        <f>IF($G245="","",IFERROR(INDEX(SAN_PHAM!$N$5:$N$26,MATCH($G245,SAN_PHAM!$A$5:$A$26,0)),""))</f>
        <v/>
      </c>
      <c r="K245" s="7" t="n"/>
      <c r="L245" s="7" t="n"/>
      <c r="M245" s="26" t="n"/>
      <c r="N245" s="42" t="n"/>
      <c r="O245" s="26" t="n"/>
      <c r="P245" s="7" t="n"/>
      <c r="Q245" s="43" t="n"/>
      <c r="R245" s="43" t="n"/>
      <c r="S245" s="43" t="n"/>
      <c r="T245" s="7" t="n"/>
    </row>
    <row r="246">
      <c r="A246" s="26" t="n"/>
      <c r="B246" s="26" t="n"/>
      <c r="C246" s="7" t="n"/>
      <c r="D246" s="7" t="n"/>
      <c r="E246" s="7" t="n"/>
      <c r="F246" s="7" t="n"/>
      <c r="G246" s="26" t="n"/>
      <c r="H246" s="8">
        <f>IF($G246="","",IFERROR(INDEX(SAN_PHAM!$D$5:$D$26,MATCH($G246,SAN_PHAM!$A$5:$A$26,0)),"Sai mã SP"))</f>
        <v/>
      </c>
      <c r="I246" s="8">
        <f>IF(OR($G246="",$A246=""),"",IFERROR(INDEX(SAN_PHAM!$L$5:$L$26,MATCH($G246,SAN_PHAM!$A$5:$A$26,0))&amp;"?sub_id=ChiGiang-"&amp;SUBSTITUTE($A246,"-","")&amp;"-FBReels-SP"&amp;TEXT($G246,"00"),""))</f>
        <v/>
      </c>
      <c r="J246" s="8">
        <f>IF($G246="","",IFERROR(INDEX(SAN_PHAM!$N$5:$N$26,MATCH($G246,SAN_PHAM!$A$5:$A$26,0)),""))</f>
        <v/>
      </c>
      <c r="K246" s="7" t="n"/>
      <c r="L246" s="7" t="n"/>
      <c r="M246" s="26" t="n"/>
      <c r="N246" s="42" t="n"/>
      <c r="O246" s="26" t="n"/>
      <c r="P246" s="7" t="n"/>
      <c r="Q246" s="43" t="n"/>
      <c r="R246" s="43" t="n"/>
      <c r="S246" s="43" t="n"/>
      <c r="T246" s="7" t="n"/>
    </row>
    <row r="247">
      <c r="A247" s="26" t="n"/>
      <c r="B247" s="26" t="n"/>
      <c r="C247" s="7" t="n"/>
      <c r="D247" s="7" t="n"/>
      <c r="E247" s="7" t="n"/>
      <c r="F247" s="7" t="n"/>
      <c r="G247" s="26" t="n"/>
      <c r="H247" s="8">
        <f>IF($G247="","",IFERROR(INDEX(SAN_PHAM!$D$5:$D$26,MATCH($G247,SAN_PHAM!$A$5:$A$26,0)),"Sai mã SP"))</f>
        <v/>
      </c>
      <c r="I247" s="8">
        <f>IF(OR($G247="",$A247=""),"",IFERROR(INDEX(SAN_PHAM!$L$5:$L$26,MATCH($G247,SAN_PHAM!$A$5:$A$26,0))&amp;"?sub_id=ChiGiang-"&amp;SUBSTITUTE($A247,"-","")&amp;"-FBReels-SP"&amp;TEXT($G247,"00"),""))</f>
        <v/>
      </c>
      <c r="J247" s="8">
        <f>IF($G247="","",IFERROR(INDEX(SAN_PHAM!$N$5:$N$26,MATCH($G247,SAN_PHAM!$A$5:$A$26,0)),""))</f>
        <v/>
      </c>
      <c r="K247" s="7" t="n"/>
      <c r="L247" s="7" t="n"/>
      <c r="M247" s="26" t="n"/>
      <c r="N247" s="42" t="n"/>
      <c r="O247" s="26" t="n"/>
      <c r="P247" s="7" t="n"/>
      <c r="Q247" s="43" t="n"/>
      <c r="R247" s="43" t="n"/>
      <c r="S247" s="43" t="n"/>
      <c r="T247" s="7" t="n"/>
    </row>
    <row r="248">
      <c r="A248" s="26" t="n"/>
      <c r="B248" s="26" t="n"/>
      <c r="C248" s="7" t="n"/>
      <c r="D248" s="7" t="n"/>
      <c r="E248" s="7" t="n"/>
      <c r="F248" s="7" t="n"/>
      <c r="G248" s="26" t="n"/>
      <c r="H248" s="8">
        <f>IF($G248="","",IFERROR(INDEX(SAN_PHAM!$D$5:$D$26,MATCH($G248,SAN_PHAM!$A$5:$A$26,0)),"Sai mã SP"))</f>
        <v/>
      </c>
      <c r="I248" s="8">
        <f>IF(OR($G248="",$A248=""),"",IFERROR(INDEX(SAN_PHAM!$L$5:$L$26,MATCH($G248,SAN_PHAM!$A$5:$A$26,0))&amp;"?sub_id=ChiGiang-"&amp;SUBSTITUTE($A248,"-","")&amp;"-FBReels-SP"&amp;TEXT($G248,"00"),""))</f>
        <v/>
      </c>
      <c r="J248" s="8">
        <f>IF($G248="","",IFERROR(INDEX(SAN_PHAM!$N$5:$N$26,MATCH($G248,SAN_PHAM!$A$5:$A$26,0)),""))</f>
        <v/>
      </c>
      <c r="K248" s="7" t="n"/>
      <c r="L248" s="7" t="n"/>
      <c r="M248" s="26" t="n"/>
      <c r="N248" s="42" t="n"/>
      <c r="O248" s="26" t="n"/>
      <c r="P248" s="7" t="n"/>
      <c r="Q248" s="43" t="n"/>
      <c r="R248" s="43" t="n"/>
      <c r="S248" s="43" t="n"/>
      <c r="T248" s="7" t="n"/>
    </row>
    <row r="249">
      <c r="A249" s="26" t="n"/>
      <c r="B249" s="26" t="n"/>
      <c r="C249" s="7" t="n"/>
      <c r="D249" s="7" t="n"/>
      <c r="E249" s="7" t="n"/>
      <c r="F249" s="7" t="n"/>
      <c r="G249" s="26" t="n"/>
      <c r="H249" s="8">
        <f>IF($G249="","",IFERROR(INDEX(SAN_PHAM!$D$5:$D$26,MATCH($G249,SAN_PHAM!$A$5:$A$26,0)),"Sai mã SP"))</f>
        <v/>
      </c>
      <c r="I249" s="8">
        <f>IF(OR($G249="",$A249=""),"",IFERROR(INDEX(SAN_PHAM!$L$5:$L$26,MATCH($G249,SAN_PHAM!$A$5:$A$26,0))&amp;"?sub_id=ChiGiang-"&amp;SUBSTITUTE($A249,"-","")&amp;"-FBReels-SP"&amp;TEXT($G249,"00"),""))</f>
        <v/>
      </c>
      <c r="J249" s="8">
        <f>IF($G249="","",IFERROR(INDEX(SAN_PHAM!$N$5:$N$26,MATCH($G249,SAN_PHAM!$A$5:$A$26,0)),""))</f>
        <v/>
      </c>
      <c r="K249" s="7" t="n"/>
      <c r="L249" s="7" t="n"/>
      <c r="M249" s="26" t="n"/>
      <c r="N249" s="42" t="n"/>
      <c r="O249" s="26" t="n"/>
      <c r="P249" s="7" t="n"/>
      <c r="Q249" s="43" t="n"/>
      <c r="R249" s="43" t="n"/>
      <c r="S249" s="43" t="n"/>
      <c r="T249" s="7" t="n"/>
    </row>
    <row r="250">
      <c r="A250" s="26" t="n"/>
      <c r="B250" s="26" t="n"/>
      <c r="C250" s="7" t="n"/>
      <c r="D250" s="7" t="n"/>
      <c r="E250" s="7" t="n"/>
      <c r="F250" s="7" t="n"/>
      <c r="G250" s="26" t="n"/>
      <c r="H250" s="8">
        <f>IF($G250="","",IFERROR(INDEX(SAN_PHAM!$D$5:$D$26,MATCH($G250,SAN_PHAM!$A$5:$A$26,0)),"Sai mã SP"))</f>
        <v/>
      </c>
      <c r="I250" s="8">
        <f>IF(OR($G250="",$A250=""),"",IFERROR(INDEX(SAN_PHAM!$L$5:$L$26,MATCH($G250,SAN_PHAM!$A$5:$A$26,0))&amp;"?sub_id=ChiGiang-"&amp;SUBSTITUTE($A250,"-","")&amp;"-FBReels-SP"&amp;TEXT($G250,"00"),""))</f>
        <v/>
      </c>
      <c r="J250" s="8">
        <f>IF($G250="","",IFERROR(INDEX(SAN_PHAM!$N$5:$N$26,MATCH($G250,SAN_PHAM!$A$5:$A$26,0)),""))</f>
        <v/>
      </c>
      <c r="K250" s="7" t="n"/>
      <c r="L250" s="7" t="n"/>
      <c r="M250" s="26" t="n"/>
      <c r="N250" s="42" t="n"/>
      <c r="O250" s="26" t="n"/>
      <c r="P250" s="7" t="n"/>
      <c r="Q250" s="43" t="n"/>
      <c r="R250" s="43" t="n"/>
      <c r="S250" s="43" t="n"/>
      <c r="T250" s="7" t="n"/>
    </row>
    <row r="251">
      <c r="A251" s="26" t="n"/>
      <c r="B251" s="26" t="n"/>
      <c r="C251" s="7" t="n"/>
      <c r="D251" s="7" t="n"/>
      <c r="E251" s="7" t="n"/>
      <c r="F251" s="7" t="n"/>
      <c r="G251" s="26" t="n"/>
      <c r="H251" s="8">
        <f>IF($G251="","",IFERROR(INDEX(SAN_PHAM!$D$5:$D$26,MATCH($G251,SAN_PHAM!$A$5:$A$26,0)),"Sai mã SP"))</f>
        <v/>
      </c>
      <c r="I251" s="8">
        <f>IF(OR($G251="",$A251=""),"",IFERROR(INDEX(SAN_PHAM!$L$5:$L$26,MATCH($G251,SAN_PHAM!$A$5:$A$26,0))&amp;"?sub_id=ChiGiang-"&amp;SUBSTITUTE($A251,"-","")&amp;"-FBReels-SP"&amp;TEXT($G251,"00"),""))</f>
        <v/>
      </c>
      <c r="J251" s="8">
        <f>IF($G251="","",IFERROR(INDEX(SAN_PHAM!$N$5:$N$26,MATCH($G251,SAN_PHAM!$A$5:$A$26,0)),""))</f>
        <v/>
      </c>
      <c r="K251" s="7" t="n"/>
      <c r="L251" s="7" t="n"/>
      <c r="M251" s="26" t="n"/>
      <c r="N251" s="42" t="n"/>
      <c r="O251" s="26" t="n"/>
      <c r="P251" s="7" t="n"/>
      <c r="Q251" s="43" t="n"/>
      <c r="R251" s="43" t="n"/>
      <c r="S251" s="43" t="n"/>
      <c r="T251" s="7" t="n"/>
    </row>
    <row r="252">
      <c r="A252" s="26" t="n"/>
      <c r="B252" s="26" t="n"/>
      <c r="C252" s="7" t="n"/>
      <c r="D252" s="7" t="n"/>
      <c r="E252" s="7" t="n"/>
      <c r="F252" s="7" t="n"/>
      <c r="G252" s="26" t="n"/>
      <c r="H252" s="8">
        <f>IF($G252="","",IFERROR(INDEX(SAN_PHAM!$D$5:$D$26,MATCH($G252,SAN_PHAM!$A$5:$A$26,0)),"Sai mã SP"))</f>
        <v/>
      </c>
      <c r="I252" s="8">
        <f>IF(OR($G252="",$A252=""),"",IFERROR(INDEX(SAN_PHAM!$L$5:$L$26,MATCH($G252,SAN_PHAM!$A$5:$A$26,0))&amp;"?sub_id=ChiGiang-"&amp;SUBSTITUTE($A252,"-","")&amp;"-FBReels-SP"&amp;TEXT($G252,"00"),""))</f>
        <v/>
      </c>
      <c r="J252" s="8">
        <f>IF($G252="","",IFERROR(INDEX(SAN_PHAM!$N$5:$N$26,MATCH($G252,SAN_PHAM!$A$5:$A$26,0)),""))</f>
        <v/>
      </c>
      <c r="K252" s="7" t="n"/>
      <c r="L252" s="7" t="n"/>
      <c r="M252" s="26" t="n"/>
      <c r="N252" s="42" t="n"/>
      <c r="O252" s="26" t="n"/>
      <c r="P252" s="7" t="n"/>
      <c r="Q252" s="43" t="n"/>
      <c r="R252" s="43" t="n"/>
      <c r="S252" s="43" t="n"/>
      <c r="T252" s="7" t="n"/>
    </row>
    <row r="253">
      <c r="A253" s="26" t="n"/>
      <c r="B253" s="26" t="n"/>
      <c r="C253" s="7" t="n"/>
      <c r="D253" s="7" t="n"/>
      <c r="E253" s="7" t="n"/>
      <c r="F253" s="7" t="n"/>
      <c r="G253" s="26" t="n"/>
      <c r="H253" s="8">
        <f>IF($G253="","",IFERROR(INDEX(SAN_PHAM!$D$5:$D$26,MATCH($G253,SAN_PHAM!$A$5:$A$26,0)),"Sai mã SP"))</f>
        <v/>
      </c>
      <c r="I253" s="8">
        <f>IF(OR($G253="",$A253=""),"",IFERROR(INDEX(SAN_PHAM!$L$5:$L$26,MATCH($G253,SAN_PHAM!$A$5:$A$26,0))&amp;"?sub_id=ChiGiang-"&amp;SUBSTITUTE($A253,"-","")&amp;"-FBReels-SP"&amp;TEXT($G253,"00"),""))</f>
        <v/>
      </c>
      <c r="J253" s="8">
        <f>IF($G253="","",IFERROR(INDEX(SAN_PHAM!$N$5:$N$26,MATCH($G253,SAN_PHAM!$A$5:$A$26,0)),""))</f>
        <v/>
      </c>
      <c r="K253" s="7" t="n"/>
      <c r="L253" s="7" t="n"/>
      <c r="M253" s="26" t="n"/>
      <c r="N253" s="42" t="n"/>
      <c r="O253" s="26" t="n"/>
      <c r="P253" s="7" t="n"/>
      <c r="Q253" s="43" t="n"/>
      <c r="R253" s="43" t="n"/>
      <c r="S253" s="43" t="n"/>
      <c r="T253" s="7" t="n"/>
    </row>
    <row r="254">
      <c r="A254" s="26" t="n"/>
      <c r="B254" s="26" t="n"/>
      <c r="C254" s="7" t="n"/>
      <c r="D254" s="7" t="n"/>
      <c r="E254" s="7" t="n"/>
      <c r="F254" s="7" t="n"/>
      <c r="G254" s="26" t="n"/>
      <c r="H254" s="8">
        <f>IF($G254="","",IFERROR(INDEX(SAN_PHAM!$D$5:$D$26,MATCH($G254,SAN_PHAM!$A$5:$A$26,0)),"Sai mã SP"))</f>
        <v/>
      </c>
      <c r="I254" s="8">
        <f>IF(OR($G254="",$A254=""),"",IFERROR(INDEX(SAN_PHAM!$L$5:$L$26,MATCH($G254,SAN_PHAM!$A$5:$A$26,0))&amp;"?sub_id=ChiGiang-"&amp;SUBSTITUTE($A254,"-","")&amp;"-FBReels-SP"&amp;TEXT($G254,"00"),""))</f>
        <v/>
      </c>
      <c r="J254" s="8">
        <f>IF($G254="","",IFERROR(INDEX(SAN_PHAM!$N$5:$N$26,MATCH($G254,SAN_PHAM!$A$5:$A$26,0)),""))</f>
        <v/>
      </c>
      <c r="K254" s="7" t="n"/>
      <c r="L254" s="7" t="n"/>
      <c r="M254" s="26" t="n"/>
      <c r="N254" s="42" t="n"/>
      <c r="O254" s="26" t="n"/>
      <c r="P254" s="7" t="n"/>
      <c r="Q254" s="43" t="n"/>
      <c r="R254" s="43" t="n"/>
      <c r="S254" s="43" t="n"/>
      <c r="T254" s="7" t="n"/>
    </row>
    <row r="255">
      <c r="A255" s="26" t="n"/>
      <c r="B255" s="26" t="n"/>
      <c r="C255" s="7" t="n"/>
      <c r="D255" s="7" t="n"/>
      <c r="E255" s="7" t="n"/>
      <c r="F255" s="7" t="n"/>
      <c r="G255" s="26" t="n"/>
      <c r="H255" s="8">
        <f>IF($G255="","",IFERROR(INDEX(SAN_PHAM!$D$5:$D$26,MATCH($G255,SAN_PHAM!$A$5:$A$26,0)),"Sai mã SP"))</f>
        <v/>
      </c>
      <c r="I255" s="8">
        <f>IF(OR($G255="",$A255=""),"",IFERROR(INDEX(SAN_PHAM!$L$5:$L$26,MATCH($G255,SAN_PHAM!$A$5:$A$26,0))&amp;"?sub_id=ChiGiang-"&amp;SUBSTITUTE($A255,"-","")&amp;"-FBReels-SP"&amp;TEXT($G255,"00"),""))</f>
        <v/>
      </c>
      <c r="J255" s="8">
        <f>IF($G255="","",IFERROR(INDEX(SAN_PHAM!$N$5:$N$26,MATCH($G255,SAN_PHAM!$A$5:$A$26,0)),""))</f>
        <v/>
      </c>
      <c r="K255" s="7" t="n"/>
      <c r="L255" s="7" t="n"/>
      <c r="M255" s="26" t="n"/>
      <c r="N255" s="42" t="n"/>
      <c r="O255" s="26" t="n"/>
      <c r="P255" s="7" t="n"/>
      <c r="Q255" s="43" t="n"/>
      <c r="R255" s="43" t="n"/>
      <c r="S255" s="43" t="n"/>
      <c r="T255" s="7" t="n"/>
    </row>
    <row r="256">
      <c r="A256" s="26" t="n"/>
      <c r="B256" s="26" t="n"/>
      <c r="C256" s="7" t="n"/>
      <c r="D256" s="7" t="n"/>
      <c r="E256" s="7" t="n"/>
      <c r="F256" s="7" t="n"/>
      <c r="G256" s="26" t="n"/>
      <c r="H256" s="8">
        <f>IF($G256="","",IFERROR(INDEX(SAN_PHAM!$D$5:$D$26,MATCH($G256,SAN_PHAM!$A$5:$A$26,0)),"Sai mã SP"))</f>
        <v/>
      </c>
      <c r="I256" s="8">
        <f>IF(OR($G256="",$A256=""),"",IFERROR(INDEX(SAN_PHAM!$L$5:$L$26,MATCH($G256,SAN_PHAM!$A$5:$A$26,0))&amp;"?sub_id=ChiGiang-"&amp;SUBSTITUTE($A256,"-","")&amp;"-FBReels-SP"&amp;TEXT($G256,"00"),""))</f>
        <v/>
      </c>
      <c r="J256" s="8">
        <f>IF($G256="","",IFERROR(INDEX(SAN_PHAM!$N$5:$N$26,MATCH($G256,SAN_PHAM!$A$5:$A$26,0)),""))</f>
        <v/>
      </c>
      <c r="K256" s="7" t="n"/>
      <c r="L256" s="7" t="n"/>
      <c r="M256" s="26" t="n"/>
      <c r="N256" s="42" t="n"/>
      <c r="O256" s="26" t="n"/>
      <c r="P256" s="7" t="n"/>
      <c r="Q256" s="43" t="n"/>
      <c r="R256" s="43" t="n"/>
      <c r="S256" s="43" t="n"/>
      <c r="T256" s="7" t="n"/>
    </row>
    <row r="257">
      <c r="A257" s="26" t="n"/>
      <c r="B257" s="26" t="n"/>
      <c r="C257" s="7" t="n"/>
      <c r="D257" s="7" t="n"/>
      <c r="E257" s="7" t="n"/>
      <c r="F257" s="7" t="n"/>
      <c r="G257" s="26" t="n"/>
      <c r="H257" s="8">
        <f>IF($G257="","",IFERROR(INDEX(SAN_PHAM!$D$5:$D$26,MATCH($G257,SAN_PHAM!$A$5:$A$26,0)),"Sai mã SP"))</f>
        <v/>
      </c>
      <c r="I257" s="8">
        <f>IF(OR($G257="",$A257=""),"",IFERROR(INDEX(SAN_PHAM!$L$5:$L$26,MATCH($G257,SAN_PHAM!$A$5:$A$26,0))&amp;"?sub_id=ChiGiang-"&amp;SUBSTITUTE($A257,"-","")&amp;"-FBReels-SP"&amp;TEXT($G257,"00"),""))</f>
        <v/>
      </c>
      <c r="J257" s="8">
        <f>IF($G257="","",IFERROR(INDEX(SAN_PHAM!$N$5:$N$26,MATCH($G257,SAN_PHAM!$A$5:$A$26,0)),""))</f>
        <v/>
      </c>
      <c r="K257" s="7" t="n"/>
      <c r="L257" s="7" t="n"/>
      <c r="M257" s="26" t="n"/>
      <c r="N257" s="42" t="n"/>
      <c r="O257" s="26" t="n"/>
      <c r="P257" s="7" t="n"/>
      <c r="Q257" s="43" t="n"/>
      <c r="R257" s="43" t="n"/>
      <c r="S257" s="43" t="n"/>
      <c r="T257" s="7" t="n"/>
    </row>
    <row r="258">
      <c r="A258" s="26" t="n"/>
      <c r="B258" s="26" t="n"/>
      <c r="C258" s="7" t="n"/>
      <c r="D258" s="7" t="n"/>
      <c r="E258" s="7" t="n"/>
      <c r="F258" s="7" t="n"/>
      <c r="G258" s="26" t="n"/>
      <c r="H258" s="8">
        <f>IF($G258="","",IFERROR(INDEX(SAN_PHAM!$D$5:$D$26,MATCH($G258,SAN_PHAM!$A$5:$A$26,0)),"Sai mã SP"))</f>
        <v/>
      </c>
      <c r="I258" s="8">
        <f>IF(OR($G258="",$A258=""),"",IFERROR(INDEX(SAN_PHAM!$L$5:$L$26,MATCH($G258,SAN_PHAM!$A$5:$A$26,0))&amp;"?sub_id=ChiGiang-"&amp;SUBSTITUTE($A258,"-","")&amp;"-FBReels-SP"&amp;TEXT($G258,"00"),""))</f>
        <v/>
      </c>
      <c r="J258" s="8">
        <f>IF($G258="","",IFERROR(INDEX(SAN_PHAM!$N$5:$N$26,MATCH($G258,SAN_PHAM!$A$5:$A$26,0)),""))</f>
        <v/>
      </c>
      <c r="K258" s="7" t="n"/>
      <c r="L258" s="7" t="n"/>
      <c r="M258" s="26" t="n"/>
      <c r="N258" s="42" t="n"/>
      <c r="O258" s="26" t="n"/>
      <c r="P258" s="7" t="n"/>
      <c r="Q258" s="43" t="n"/>
      <c r="R258" s="43" t="n"/>
      <c r="S258" s="43" t="n"/>
      <c r="T258" s="7" t="n"/>
    </row>
    <row r="259">
      <c r="A259" s="26" t="n"/>
      <c r="B259" s="26" t="n"/>
      <c r="C259" s="7" t="n"/>
      <c r="D259" s="7" t="n"/>
      <c r="E259" s="7" t="n"/>
      <c r="F259" s="7" t="n"/>
      <c r="G259" s="26" t="n"/>
      <c r="H259" s="8">
        <f>IF($G259="","",IFERROR(INDEX(SAN_PHAM!$D$5:$D$26,MATCH($G259,SAN_PHAM!$A$5:$A$26,0)),"Sai mã SP"))</f>
        <v/>
      </c>
      <c r="I259" s="8">
        <f>IF(OR($G259="",$A259=""),"",IFERROR(INDEX(SAN_PHAM!$L$5:$L$26,MATCH($G259,SAN_PHAM!$A$5:$A$26,0))&amp;"?sub_id=ChiGiang-"&amp;SUBSTITUTE($A259,"-","")&amp;"-FBReels-SP"&amp;TEXT($G259,"00"),""))</f>
        <v/>
      </c>
      <c r="J259" s="8">
        <f>IF($G259="","",IFERROR(INDEX(SAN_PHAM!$N$5:$N$26,MATCH($G259,SAN_PHAM!$A$5:$A$26,0)),""))</f>
        <v/>
      </c>
      <c r="K259" s="7" t="n"/>
      <c r="L259" s="7" t="n"/>
      <c r="M259" s="26" t="n"/>
      <c r="N259" s="42" t="n"/>
      <c r="O259" s="26" t="n"/>
      <c r="P259" s="7" t="n"/>
      <c r="Q259" s="43" t="n"/>
      <c r="R259" s="43" t="n"/>
      <c r="S259" s="43" t="n"/>
      <c r="T259" s="7" t="n"/>
    </row>
    <row r="260">
      <c r="A260" s="26" t="n"/>
      <c r="B260" s="26" t="n"/>
      <c r="C260" s="7" t="n"/>
      <c r="D260" s="7" t="n"/>
      <c r="E260" s="7" t="n"/>
      <c r="F260" s="7" t="n"/>
      <c r="G260" s="26" t="n"/>
      <c r="H260" s="8">
        <f>IF($G260="","",IFERROR(INDEX(SAN_PHAM!$D$5:$D$26,MATCH($G260,SAN_PHAM!$A$5:$A$26,0)),"Sai mã SP"))</f>
        <v/>
      </c>
      <c r="I260" s="8">
        <f>IF(OR($G260="",$A260=""),"",IFERROR(INDEX(SAN_PHAM!$L$5:$L$26,MATCH($G260,SAN_PHAM!$A$5:$A$26,0))&amp;"?sub_id=ChiGiang-"&amp;SUBSTITUTE($A260,"-","")&amp;"-FBReels-SP"&amp;TEXT($G260,"00"),""))</f>
        <v/>
      </c>
      <c r="J260" s="8">
        <f>IF($G260="","",IFERROR(INDEX(SAN_PHAM!$N$5:$N$26,MATCH($G260,SAN_PHAM!$A$5:$A$26,0)),""))</f>
        <v/>
      </c>
      <c r="K260" s="7" t="n"/>
      <c r="L260" s="7" t="n"/>
      <c r="M260" s="26" t="n"/>
      <c r="N260" s="42" t="n"/>
      <c r="O260" s="26" t="n"/>
      <c r="P260" s="7" t="n"/>
      <c r="Q260" s="43" t="n"/>
      <c r="R260" s="43" t="n"/>
      <c r="S260" s="43" t="n"/>
      <c r="T260" s="7" t="n"/>
    </row>
    <row r="261">
      <c r="A261" s="26" t="n"/>
      <c r="B261" s="26" t="n"/>
      <c r="C261" s="7" t="n"/>
      <c r="D261" s="7" t="n"/>
      <c r="E261" s="7" t="n"/>
      <c r="F261" s="7" t="n"/>
      <c r="G261" s="26" t="n"/>
      <c r="H261" s="8">
        <f>IF($G261="","",IFERROR(INDEX(SAN_PHAM!$D$5:$D$26,MATCH($G261,SAN_PHAM!$A$5:$A$26,0)),"Sai mã SP"))</f>
        <v/>
      </c>
      <c r="I261" s="8">
        <f>IF(OR($G261="",$A261=""),"",IFERROR(INDEX(SAN_PHAM!$L$5:$L$26,MATCH($G261,SAN_PHAM!$A$5:$A$26,0))&amp;"?sub_id=ChiGiang-"&amp;SUBSTITUTE($A261,"-","")&amp;"-FBReels-SP"&amp;TEXT($G261,"00"),""))</f>
        <v/>
      </c>
      <c r="J261" s="8">
        <f>IF($G261="","",IFERROR(INDEX(SAN_PHAM!$N$5:$N$26,MATCH($G261,SAN_PHAM!$A$5:$A$26,0)),""))</f>
        <v/>
      </c>
      <c r="K261" s="7" t="n"/>
      <c r="L261" s="7" t="n"/>
      <c r="M261" s="26" t="n"/>
      <c r="N261" s="42" t="n"/>
      <c r="O261" s="26" t="n"/>
      <c r="P261" s="7" t="n"/>
      <c r="Q261" s="43" t="n"/>
      <c r="R261" s="43" t="n"/>
      <c r="S261" s="43" t="n"/>
      <c r="T261" s="7" t="n"/>
    </row>
    <row r="262">
      <c r="A262" s="26" t="n"/>
      <c r="B262" s="26" t="n"/>
      <c r="C262" s="7" t="n"/>
      <c r="D262" s="7" t="n"/>
      <c r="E262" s="7" t="n"/>
      <c r="F262" s="7" t="n"/>
      <c r="G262" s="26" t="n"/>
      <c r="H262" s="8">
        <f>IF($G262="","",IFERROR(INDEX(SAN_PHAM!$D$5:$D$26,MATCH($G262,SAN_PHAM!$A$5:$A$26,0)),"Sai mã SP"))</f>
        <v/>
      </c>
      <c r="I262" s="8">
        <f>IF(OR($G262="",$A262=""),"",IFERROR(INDEX(SAN_PHAM!$L$5:$L$26,MATCH($G262,SAN_PHAM!$A$5:$A$26,0))&amp;"?sub_id=ChiGiang-"&amp;SUBSTITUTE($A262,"-","")&amp;"-FBReels-SP"&amp;TEXT($G262,"00"),""))</f>
        <v/>
      </c>
      <c r="J262" s="8">
        <f>IF($G262="","",IFERROR(INDEX(SAN_PHAM!$N$5:$N$26,MATCH($G262,SAN_PHAM!$A$5:$A$26,0)),""))</f>
        <v/>
      </c>
      <c r="K262" s="7" t="n"/>
      <c r="L262" s="7" t="n"/>
      <c r="M262" s="26" t="n"/>
      <c r="N262" s="42" t="n"/>
      <c r="O262" s="26" t="n"/>
      <c r="P262" s="7" t="n"/>
      <c r="Q262" s="43" t="n"/>
      <c r="R262" s="43" t="n"/>
      <c r="S262" s="43" t="n"/>
      <c r="T262" s="7" t="n"/>
    </row>
    <row r="263">
      <c r="A263" s="26" t="n"/>
      <c r="B263" s="26" t="n"/>
      <c r="C263" s="7" t="n"/>
      <c r="D263" s="7" t="n"/>
      <c r="E263" s="7" t="n"/>
      <c r="F263" s="7" t="n"/>
      <c r="G263" s="26" t="n"/>
      <c r="H263" s="8">
        <f>IF($G263="","",IFERROR(INDEX(SAN_PHAM!$D$5:$D$26,MATCH($G263,SAN_PHAM!$A$5:$A$26,0)),"Sai mã SP"))</f>
        <v/>
      </c>
      <c r="I263" s="8">
        <f>IF(OR($G263="",$A263=""),"",IFERROR(INDEX(SAN_PHAM!$L$5:$L$26,MATCH($G263,SAN_PHAM!$A$5:$A$26,0))&amp;"?sub_id=ChiGiang-"&amp;SUBSTITUTE($A263,"-","")&amp;"-FBReels-SP"&amp;TEXT($G263,"00"),""))</f>
        <v/>
      </c>
      <c r="J263" s="8">
        <f>IF($G263="","",IFERROR(INDEX(SAN_PHAM!$N$5:$N$26,MATCH($G263,SAN_PHAM!$A$5:$A$26,0)),""))</f>
        <v/>
      </c>
      <c r="K263" s="7" t="n"/>
      <c r="L263" s="7" t="n"/>
      <c r="M263" s="26" t="n"/>
      <c r="N263" s="42" t="n"/>
      <c r="O263" s="26" t="n"/>
      <c r="P263" s="7" t="n"/>
      <c r="Q263" s="43" t="n"/>
      <c r="R263" s="43" t="n"/>
      <c r="S263" s="43" t="n"/>
      <c r="T263" s="7" t="n"/>
    </row>
    <row r="264">
      <c r="A264" s="26" t="n"/>
      <c r="B264" s="26" t="n"/>
      <c r="C264" s="7" t="n"/>
      <c r="D264" s="7" t="n"/>
      <c r="E264" s="7" t="n"/>
      <c r="F264" s="7" t="n"/>
      <c r="G264" s="26" t="n"/>
      <c r="H264" s="8">
        <f>IF($G264="","",IFERROR(INDEX(SAN_PHAM!$D$5:$D$26,MATCH($G264,SAN_PHAM!$A$5:$A$26,0)),"Sai mã SP"))</f>
        <v/>
      </c>
      <c r="I264" s="8">
        <f>IF(OR($G264="",$A264=""),"",IFERROR(INDEX(SAN_PHAM!$L$5:$L$26,MATCH($G264,SAN_PHAM!$A$5:$A$26,0))&amp;"?sub_id=ChiGiang-"&amp;SUBSTITUTE($A264,"-","")&amp;"-FBReels-SP"&amp;TEXT($G264,"00"),""))</f>
        <v/>
      </c>
      <c r="J264" s="8">
        <f>IF($G264="","",IFERROR(INDEX(SAN_PHAM!$N$5:$N$26,MATCH($G264,SAN_PHAM!$A$5:$A$26,0)),""))</f>
        <v/>
      </c>
      <c r="K264" s="7" t="n"/>
      <c r="L264" s="7" t="n"/>
      <c r="M264" s="26" t="n"/>
      <c r="N264" s="42" t="n"/>
      <c r="O264" s="26" t="n"/>
      <c r="P264" s="7" t="n"/>
      <c r="Q264" s="43" t="n"/>
      <c r="R264" s="43" t="n"/>
      <c r="S264" s="43" t="n"/>
      <c r="T264" s="7" t="n"/>
    </row>
    <row r="265">
      <c r="A265" s="26" t="n"/>
      <c r="B265" s="26" t="n"/>
      <c r="C265" s="7" t="n"/>
      <c r="D265" s="7" t="n"/>
      <c r="E265" s="7" t="n"/>
      <c r="F265" s="7" t="n"/>
      <c r="G265" s="26" t="n"/>
      <c r="H265" s="8">
        <f>IF($G265="","",IFERROR(INDEX(SAN_PHAM!$D$5:$D$26,MATCH($G265,SAN_PHAM!$A$5:$A$26,0)),"Sai mã SP"))</f>
        <v/>
      </c>
      <c r="I265" s="8">
        <f>IF(OR($G265="",$A265=""),"",IFERROR(INDEX(SAN_PHAM!$L$5:$L$26,MATCH($G265,SAN_PHAM!$A$5:$A$26,0))&amp;"?sub_id=ChiGiang-"&amp;SUBSTITUTE($A265,"-","")&amp;"-FBReels-SP"&amp;TEXT($G265,"00"),""))</f>
        <v/>
      </c>
      <c r="J265" s="8">
        <f>IF($G265="","",IFERROR(INDEX(SAN_PHAM!$N$5:$N$26,MATCH($G265,SAN_PHAM!$A$5:$A$26,0)),""))</f>
        <v/>
      </c>
      <c r="K265" s="7" t="n"/>
      <c r="L265" s="7" t="n"/>
      <c r="M265" s="26" t="n"/>
      <c r="N265" s="42" t="n"/>
      <c r="O265" s="26" t="n"/>
      <c r="P265" s="7" t="n"/>
      <c r="Q265" s="43" t="n"/>
      <c r="R265" s="43" t="n"/>
      <c r="S265" s="43" t="n"/>
      <c r="T265" s="7" t="n"/>
    </row>
    <row r="266">
      <c r="A266" s="26" t="n"/>
      <c r="B266" s="26" t="n"/>
      <c r="C266" s="7" t="n"/>
      <c r="D266" s="7" t="n"/>
      <c r="E266" s="7" t="n"/>
      <c r="F266" s="7" t="n"/>
      <c r="G266" s="26" t="n"/>
      <c r="H266" s="8">
        <f>IF($G266="","",IFERROR(INDEX(SAN_PHAM!$D$5:$D$26,MATCH($G266,SAN_PHAM!$A$5:$A$26,0)),"Sai mã SP"))</f>
        <v/>
      </c>
      <c r="I266" s="8">
        <f>IF(OR($G266="",$A266=""),"",IFERROR(INDEX(SAN_PHAM!$L$5:$L$26,MATCH($G266,SAN_PHAM!$A$5:$A$26,0))&amp;"?sub_id=ChiGiang-"&amp;SUBSTITUTE($A266,"-","")&amp;"-FBReels-SP"&amp;TEXT($G266,"00"),""))</f>
        <v/>
      </c>
      <c r="J266" s="8">
        <f>IF($G266="","",IFERROR(INDEX(SAN_PHAM!$N$5:$N$26,MATCH($G266,SAN_PHAM!$A$5:$A$26,0)),""))</f>
        <v/>
      </c>
      <c r="K266" s="7" t="n"/>
      <c r="L266" s="7" t="n"/>
      <c r="M266" s="26" t="n"/>
      <c r="N266" s="42" t="n"/>
      <c r="O266" s="26" t="n"/>
      <c r="P266" s="7" t="n"/>
      <c r="Q266" s="43" t="n"/>
      <c r="R266" s="43" t="n"/>
      <c r="S266" s="43" t="n"/>
      <c r="T266" s="7" t="n"/>
    </row>
    <row r="267">
      <c r="A267" s="26" t="n"/>
      <c r="B267" s="26" t="n"/>
      <c r="C267" s="7" t="n"/>
      <c r="D267" s="7" t="n"/>
      <c r="E267" s="7" t="n"/>
      <c r="F267" s="7" t="n"/>
      <c r="G267" s="26" t="n"/>
      <c r="H267" s="8">
        <f>IF($G267="","",IFERROR(INDEX(SAN_PHAM!$D$5:$D$26,MATCH($G267,SAN_PHAM!$A$5:$A$26,0)),"Sai mã SP"))</f>
        <v/>
      </c>
      <c r="I267" s="8">
        <f>IF(OR($G267="",$A267=""),"",IFERROR(INDEX(SAN_PHAM!$L$5:$L$26,MATCH($G267,SAN_PHAM!$A$5:$A$26,0))&amp;"?sub_id=ChiGiang-"&amp;SUBSTITUTE($A267,"-","")&amp;"-FBReels-SP"&amp;TEXT($G267,"00"),""))</f>
        <v/>
      </c>
      <c r="J267" s="8">
        <f>IF($G267="","",IFERROR(INDEX(SAN_PHAM!$N$5:$N$26,MATCH($G267,SAN_PHAM!$A$5:$A$26,0)),""))</f>
        <v/>
      </c>
      <c r="K267" s="7" t="n"/>
      <c r="L267" s="7" t="n"/>
      <c r="M267" s="26" t="n"/>
      <c r="N267" s="42" t="n"/>
      <c r="O267" s="26" t="n"/>
      <c r="P267" s="7" t="n"/>
      <c r="Q267" s="43" t="n"/>
      <c r="R267" s="43" t="n"/>
      <c r="S267" s="43" t="n"/>
      <c r="T267" s="7" t="n"/>
    </row>
    <row r="268">
      <c r="A268" s="26" t="n"/>
      <c r="B268" s="26" t="n"/>
      <c r="C268" s="7" t="n"/>
      <c r="D268" s="7" t="n"/>
      <c r="E268" s="7" t="n"/>
      <c r="F268" s="7" t="n"/>
      <c r="G268" s="26" t="n"/>
      <c r="H268" s="8">
        <f>IF($G268="","",IFERROR(INDEX(SAN_PHAM!$D$5:$D$26,MATCH($G268,SAN_PHAM!$A$5:$A$26,0)),"Sai mã SP"))</f>
        <v/>
      </c>
      <c r="I268" s="8">
        <f>IF(OR($G268="",$A268=""),"",IFERROR(INDEX(SAN_PHAM!$L$5:$L$26,MATCH($G268,SAN_PHAM!$A$5:$A$26,0))&amp;"?sub_id=ChiGiang-"&amp;SUBSTITUTE($A268,"-","")&amp;"-FBReels-SP"&amp;TEXT($G268,"00"),""))</f>
        <v/>
      </c>
      <c r="J268" s="8">
        <f>IF($G268="","",IFERROR(INDEX(SAN_PHAM!$N$5:$N$26,MATCH($G268,SAN_PHAM!$A$5:$A$26,0)),""))</f>
        <v/>
      </c>
      <c r="K268" s="7" t="n"/>
      <c r="L268" s="7" t="n"/>
      <c r="M268" s="26" t="n"/>
      <c r="N268" s="42" t="n"/>
      <c r="O268" s="26" t="n"/>
      <c r="P268" s="7" t="n"/>
      <c r="Q268" s="43" t="n"/>
      <c r="R268" s="43" t="n"/>
      <c r="S268" s="43" t="n"/>
      <c r="T268" s="7" t="n"/>
    </row>
    <row r="269">
      <c r="A269" s="26" t="n"/>
      <c r="B269" s="26" t="n"/>
      <c r="C269" s="7" t="n"/>
      <c r="D269" s="7" t="n"/>
      <c r="E269" s="7" t="n"/>
      <c r="F269" s="7" t="n"/>
      <c r="G269" s="26" t="n"/>
      <c r="H269" s="8">
        <f>IF($G269="","",IFERROR(INDEX(SAN_PHAM!$D$5:$D$26,MATCH($G269,SAN_PHAM!$A$5:$A$26,0)),"Sai mã SP"))</f>
        <v/>
      </c>
      <c r="I269" s="8">
        <f>IF(OR($G269="",$A269=""),"",IFERROR(INDEX(SAN_PHAM!$L$5:$L$26,MATCH($G269,SAN_PHAM!$A$5:$A$26,0))&amp;"?sub_id=ChiGiang-"&amp;SUBSTITUTE($A269,"-","")&amp;"-FBReels-SP"&amp;TEXT($G269,"00"),""))</f>
        <v/>
      </c>
      <c r="J269" s="8">
        <f>IF($G269="","",IFERROR(INDEX(SAN_PHAM!$N$5:$N$26,MATCH($G269,SAN_PHAM!$A$5:$A$26,0)),""))</f>
        <v/>
      </c>
      <c r="K269" s="7" t="n"/>
      <c r="L269" s="7" t="n"/>
      <c r="M269" s="26" t="n"/>
      <c r="N269" s="42" t="n"/>
      <c r="O269" s="26" t="n"/>
      <c r="P269" s="7" t="n"/>
      <c r="Q269" s="43" t="n"/>
      <c r="R269" s="43" t="n"/>
      <c r="S269" s="43" t="n"/>
      <c r="T269" s="7" t="n"/>
    </row>
    <row r="270">
      <c r="A270" s="26" t="n"/>
      <c r="B270" s="26" t="n"/>
      <c r="C270" s="7" t="n"/>
      <c r="D270" s="7" t="n"/>
      <c r="E270" s="7" t="n"/>
      <c r="F270" s="7" t="n"/>
      <c r="G270" s="26" t="n"/>
      <c r="H270" s="8">
        <f>IF($G270="","",IFERROR(INDEX(SAN_PHAM!$D$5:$D$26,MATCH($G270,SAN_PHAM!$A$5:$A$26,0)),"Sai mã SP"))</f>
        <v/>
      </c>
      <c r="I270" s="8">
        <f>IF(OR($G270="",$A270=""),"",IFERROR(INDEX(SAN_PHAM!$L$5:$L$26,MATCH($G270,SAN_PHAM!$A$5:$A$26,0))&amp;"?sub_id=ChiGiang-"&amp;SUBSTITUTE($A270,"-","")&amp;"-FBReels-SP"&amp;TEXT($G270,"00"),""))</f>
        <v/>
      </c>
      <c r="J270" s="8">
        <f>IF($G270="","",IFERROR(INDEX(SAN_PHAM!$N$5:$N$26,MATCH($G270,SAN_PHAM!$A$5:$A$26,0)),""))</f>
        <v/>
      </c>
      <c r="K270" s="7" t="n"/>
      <c r="L270" s="7" t="n"/>
      <c r="M270" s="26" t="n"/>
      <c r="N270" s="42" t="n"/>
      <c r="O270" s="26" t="n"/>
      <c r="P270" s="7" t="n"/>
      <c r="Q270" s="43" t="n"/>
      <c r="R270" s="43" t="n"/>
      <c r="S270" s="43" t="n"/>
      <c r="T270" s="7" t="n"/>
    </row>
    <row r="271">
      <c r="A271" s="26" t="n"/>
      <c r="B271" s="26" t="n"/>
      <c r="C271" s="7" t="n"/>
      <c r="D271" s="7" t="n"/>
      <c r="E271" s="7" t="n"/>
      <c r="F271" s="7" t="n"/>
      <c r="G271" s="26" t="n"/>
      <c r="H271" s="8">
        <f>IF($G271="","",IFERROR(INDEX(SAN_PHAM!$D$5:$D$26,MATCH($G271,SAN_PHAM!$A$5:$A$26,0)),"Sai mã SP"))</f>
        <v/>
      </c>
      <c r="I271" s="8">
        <f>IF(OR($G271="",$A271=""),"",IFERROR(INDEX(SAN_PHAM!$L$5:$L$26,MATCH($G271,SAN_PHAM!$A$5:$A$26,0))&amp;"?sub_id=ChiGiang-"&amp;SUBSTITUTE($A271,"-","")&amp;"-FBReels-SP"&amp;TEXT($G271,"00"),""))</f>
        <v/>
      </c>
      <c r="J271" s="8">
        <f>IF($G271="","",IFERROR(INDEX(SAN_PHAM!$N$5:$N$26,MATCH($G271,SAN_PHAM!$A$5:$A$26,0)),""))</f>
        <v/>
      </c>
      <c r="K271" s="7" t="n"/>
      <c r="L271" s="7" t="n"/>
      <c r="M271" s="26" t="n"/>
      <c r="N271" s="42" t="n"/>
      <c r="O271" s="26" t="n"/>
      <c r="P271" s="7" t="n"/>
      <c r="Q271" s="43" t="n"/>
      <c r="R271" s="43" t="n"/>
      <c r="S271" s="43" t="n"/>
      <c r="T271" s="7" t="n"/>
    </row>
    <row r="272">
      <c r="A272" s="26" t="n"/>
      <c r="B272" s="26" t="n"/>
      <c r="C272" s="7" t="n"/>
      <c r="D272" s="7" t="n"/>
      <c r="E272" s="7" t="n"/>
      <c r="F272" s="7" t="n"/>
      <c r="G272" s="26" t="n"/>
      <c r="H272" s="8">
        <f>IF($G272="","",IFERROR(INDEX(SAN_PHAM!$D$5:$D$26,MATCH($G272,SAN_PHAM!$A$5:$A$26,0)),"Sai mã SP"))</f>
        <v/>
      </c>
      <c r="I272" s="8">
        <f>IF(OR($G272="",$A272=""),"",IFERROR(INDEX(SAN_PHAM!$L$5:$L$26,MATCH($G272,SAN_PHAM!$A$5:$A$26,0))&amp;"?sub_id=ChiGiang-"&amp;SUBSTITUTE($A272,"-","")&amp;"-FBReels-SP"&amp;TEXT($G272,"00"),""))</f>
        <v/>
      </c>
      <c r="J272" s="8">
        <f>IF($G272="","",IFERROR(INDEX(SAN_PHAM!$N$5:$N$26,MATCH($G272,SAN_PHAM!$A$5:$A$26,0)),""))</f>
        <v/>
      </c>
      <c r="K272" s="7" t="n"/>
      <c r="L272" s="7" t="n"/>
      <c r="M272" s="26" t="n"/>
      <c r="N272" s="42" t="n"/>
      <c r="O272" s="26" t="n"/>
      <c r="P272" s="7" t="n"/>
      <c r="Q272" s="43" t="n"/>
      <c r="R272" s="43" t="n"/>
      <c r="S272" s="43" t="n"/>
      <c r="T272" s="7" t="n"/>
    </row>
    <row r="273">
      <c r="A273" s="26" t="n"/>
      <c r="B273" s="26" t="n"/>
      <c r="C273" s="7" t="n"/>
      <c r="D273" s="7" t="n"/>
      <c r="E273" s="7" t="n"/>
      <c r="F273" s="7" t="n"/>
      <c r="G273" s="26" t="n"/>
      <c r="H273" s="8">
        <f>IF($G273="","",IFERROR(INDEX(SAN_PHAM!$D$5:$D$26,MATCH($G273,SAN_PHAM!$A$5:$A$26,0)),"Sai mã SP"))</f>
        <v/>
      </c>
      <c r="I273" s="8">
        <f>IF(OR($G273="",$A273=""),"",IFERROR(INDEX(SAN_PHAM!$L$5:$L$26,MATCH($G273,SAN_PHAM!$A$5:$A$26,0))&amp;"?sub_id=ChiGiang-"&amp;SUBSTITUTE($A273,"-","")&amp;"-FBReels-SP"&amp;TEXT($G273,"00"),""))</f>
        <v/>
      </c>
      <c r="J273" s="8">
        <f>IF($G273="","",IFERROR(INDEX(SAN_PHAM!$N$5:$N$26,MATCH($G273,SAN_PHAM!$A$5:$A$26,0)),""))</f>
        <v/>
      </c>
      <c r="K273" s="7" t="n"/>
      <c r="L273" s="7" t="n"/>
      <c r="M273" s="26" t="n"/>
      <c r="N273" s="42" t="n"/>
      <c r="O273" s="26" t="n"/>
      <c r="P273" s="7" t="n"/>
      <c r="Q273" s="43" t="n"/>
      <c r="R273" s="43" t="n"/>
      <c r="S273" s="43" t="n"/>
      <c r="T273" s="7" t="n"/>
    </row>
    <row r="274">
      <c r="A274" s="26" t="n"/>
      <c r="B274" s="26" t="n"/>
      <c r="C274" s="7" t="n"/>
      <c r="D274" s="7" t="n"/>
      <c r="E274" s="7" t="n"/>
      <c r="F274" s="7" t="n"/>
      <c r="G274" s="26" t="n"/>
      <c r="H274" s="8">
        <f>IF($G274="","",IFERROR(INDEX(SAN_PHAM!$D$5:$D$26,MATCH($G274,SAN_PHAM!$A$5:$A$26,0)),"Sai mã SP"))</f>
        <v/>
      </c>
      <c r="I274" s="8">
        <f>IF(OR($G274="",$A274=""),"",IFERROR(INDEX(SAN_PHAM!$L$5:$L$26,MATCH($G274,SAN_PHAM!$A$5:$A$26,0))&amp;"?sub_id=ChiGiang-"&amp;SUBSTITUTE($A274,"-","")&amp;"-FBReels-SP"&amp;TEXT($G274,"00"),""))</f>
        <v/>
      </c>
      <c r="J274" s="8">
        <f>IF($G274="","",IFERROR(INDEX(SAN_PHAM!$N$5:$N$26,MATCH($G274,SAN_PHAM!$A$5:$A$26,0)),""))</f>
        <v/>
      </c>
      <c r="K274" s="7" t="n"/>
      <c r="L274" s="7" t="n"/>
      <c r="M274" s="26" t="n"/>
      <c r="N274" s="42" t="n"/>
      <c r="O274" s="26" t="n"/>
      <c r="P274" s="7" t="n"/>
      <c r="Q274" s="43" t="n"/>
      <c r="R274" s="43" t="n"/>
      <c r="S274" s="43" t="n"/>
      <c r="T274" s="7" t="n"/>
    </row>
    <row r="275">
      <c r="A275" s="26" t="n"/>
      <c r="B275" s="26" t="n"/>
      <c r="C275" s="7" t="n"/>
      <c r="D275" s="7" t="n"/>
      <c r="E275" s="7" t="n"/>
      <c r="F275" s="7" t="n"/>
      <c r="G275" s="26" t="n"/>
      <c r="H275" s="8">
        <f>IF($G275="","",IFERROR(INDEX(SAN_PHAM!$D$5:$D$26,MATCH($G275,SAN_PHAM!$A$5:$A$26,0)),"Sai mã SP"))</f>
        <v/>
      </c>
      <c r="I275" s="8">
        <f>IF(OR($G275="",$A275=""),"",IFERROR(INDEX(SAN_PHAM!$L$5:$L$26,MATCH($G275,SAN_PHAM!$A$5:$A$26,0))&amp;"?sub_id=ChiGiang-"&amp;SUBSTITUTE($A275,"-","")&amp;"-FBReels-SP"&amp;TEXT($G275,"00"),""))</f>
        <v/>
      </c>
      <c r="J275" s="8">
        <f>IF($G275="","",IFERROR(INDEX(SAN_PHAM!$N$5:$N$26,MATCH($G275,SAN_PHAM!$A$5:$A$26,0)),""))</f>
        <v/>
      </c>
      <c r="K275" s="7" t="n"/>
      <c r="L275" s="7" t="n"/>
      <c r="M275" s="26" t="n"/>
      <c r="N275" s="42" t="n"/>
      <c r="O275" s="26" t="n"/>
      <c r="P275" s="7" t="n"/>
      <c r="Q275" s="43" t="n"/>
      <c r="R275" s="43" t="n"/>
      <c r="S275" s="43" t="n"/>
      <c r="T275" s="7" t="n"/>
    </row>
    <row r="276">
      <c r="A276" s="26" t="n"/>
      <c r="B276" s="26" t="n"/>
      <c r="C276" s="7" t="n"/>
      <c r="D276" s="7" t="n"/>
      <c r="E276" s="7" t="n"/>
      <c r="F276" s="7" t="n"/>
      <c r="G276" s="26" t="n"/>
      <c r="H276" s="8">
        <f>IF($G276="","",IFERROR(INDEX(SAN_PHAM!$D$5:$D$26,MATCH($G276,SAN_PHAM!$A$5:$A$26,0)),"Sai mã SP"))</f>
        <v/>
      </c>
      <c r="I276" s="8">
        <f>IF(OR($G276="",$A276=""),"",IFERROR(INDEX(SAN_PHAM!$L$5:$L$26,MATCH($G276,SAN_PHAM!$A$5:$A$26,0))&amp;"?sub_id=ChiGiang-"&amp;SUBSTITUTE($A276,"-","")&amp;"-FBReels-SP"&amp;TEXT($G276,"00"),""))</f>
        <v/>
      </c>
      <c r="J276" s="8">
        <f>IF($G276="","",IFERROR(INDEX(SAN_PHAM!$N$5:$N$26,MATCH($G276,SAN_PHAM!$A$5:$A$26,0)),""))</f>
        <v/>
      </c>
      <c r="K276" s="7" t="n"/>
      <c r="L276" s="7" t="n"/>
      <c r="M276" s="26" t="n"/>
      <c r="N276" s="42" t="n"/>
      <c r="O276" s="26" t="n"/>
      <c r="P276" s="7" t="n"/>
      <c r="Q276" s="43" t="n"/>
      <c r="R276" s="43" t="n"/>
      <c r="S276" s="43" t="n"/>
      <c r="T276" s="7" t="n"/>
    </row>
    <row r="277">
      <c r="A277" s="26" t="n"/>
      <c r="B277" s="26" t="n"/>
      <c r="C277" s="7" t="n"/>
      <c r="D277" s="7" t="n"/>
      <c r="E277" s="7" t="n"/>
      <c r="F277" s="7" t="n"/>
      <c r="G277" s="26" t="n"/>
      <c r="H277" s="8">
        <f>IF($G277="","",IFERROR(INDEX(SAN_PHAM!$D$5:$D$26,MATCH($G277,SAN_PHAM!$A$5:$A$26,0)),"Sai mã SP"))</f>
        <v/>
      </c>
      <c r="I277" s="8">
        <f>IF(OR($G277="",$A277=""),"",IFERROR(INDEX(SAN_PHAM!$L$5:$L$26,MATCH($G277,SAN_PHAM!$A$5:$A$26,0))&amp;"?sub_id=ChiGiang-"&amp;SUBSTITUTE($A277,"-","")&amp;"-FBReels-SP"&amp;TEXT($G277,"00"),""))</f>
        <v/>
      </c>
      <c r="J277" s="8">
        <f>IF($G277="","",IFERROR(INDEX(SAN_PHAM!$N$5:$N$26,MATCH($G277,SAN_PHAM!$A$5:$A$26,0)),""))</f>
        <v/>
      </c>
      <c r="K277" s="7" t="n"/>
      <c r="L277" s="7" t="n"/>
      <c r="M277" s="26" t="n"/>
      <c r="N277" s="42" t="n"/>
      <c r="O277" s="26" t="n"/>
      <c r="P277" s="7" t="n"/>
      <c r="Q277" s="43" t="n"/>
      <c r="R277" s="43" t="n"/>
      <c r="S277" s="43" t="n"/>
      <c r="T277" s="7" t="n"/>
    </row>
    <row r="278">
      <c r="A278" s="26" t="n"/>
      <c r="B278" s="26" t="n"/>
      <c r="C278" s="7" t="n"/>
      <c r="D278" s="7" t="n"/>
      <c r="E278" s="7" t="n"/>
      <c r="F278" s="7" t="n"/>
      <c r="G278" s="26" t="n"/>
      <c r="H278" s="8">
        <f>IF($G278="","",IFERROR(INDEX(SAN_PHAM!$D$5:$D$26,MATCH($G278,SAN_PHAM!$A$5:$A$26,0)),"Sai mã SP"))</f>
        <v/>
      </c>
      <c r="I278" s="8">
        <f>IF(OR($G278="",$A278=""),"",IFERROR(INDEX(SAN_PHAM!$L$5:$L$26,MATCH($G278,SAN_PHAM!$A$5:$A$26,0))&amp;"?sub_id=ChiGiang-"&amp;SUBSTITUTE($A278,"-","")&amp;"-FBReels-SP"&amp;TEXT($G278,"00"),""))</f>
        <v/>
      </c>
      <c r="J278" s="8">
        <f>IF($G278="","",IFERROR(INDEX(SAN_PHAM!$N$5:$N$26,MATCH($G278,SAN_PHAM!$A$5:$A$26,0)),""))</f>
        <v/>
      </c>
      <c r="K278" s="7" t="n"/>
      <c r="L278" s="7" t="n"/>
      <c r="M278" s="26" t="n"/>
      <c r="N278" s="42" t="n"/>
      <c r="O278" s="26" t="n"/>
      <c r="P278" s="7" t="n"/>
      <c r="Q278" s="43" t="n"/>
      <c r="R278" s="43" t="n"/>
      <c r="S278" s="43" t="n"/>
      <c r="T278" s="7" t="n"/>
    </row>
    <row r="279">
      <c r="A279" s="26" t="n"/>
      <c r="B279" s="26" t="n"/>
      <c r="C279" s="7" t="n"/>
      <c r="D279" s="7" t="n"/>
      <c r="E279" s="7" t="n"/>
      <c r="F279" s="7" t="n"/>
      <c r="G279" s="26" t="n"/>
      <c r="H279" s="8">
        <f>IF($G279="","",IFERROR(INDEX(SAN_PHAM!$D$5:$D$26,MATCH($G279,SAN_PHAM!$A$5:$A$26,0)),"Sai mã SP"))</f>
        <v/>
      </c>
      <c r="I279" s="8">
        <f>IF(OR($G279="",$A279=""),"",IFERROR(INDEX(SAN_PHAM!$L$5:$L$26,MATCH($G279,SAN_PHAM!$A$5:$A$26,0))&amp;"?sub_id=ChiGiang-"&amp;SUBSTITUTE($A279,"-","")&amp;"-FBReels-SP"&amp;TEXT($G279,"00"),""))</f>
        <v/>
      </c>
      <c r="J279" s="8">
        <f>IF($G279="","",IFERROR(INDEX(SAN_PHAM!$N$5:$N$26,MATCH($G279,SAN_PHAM!$A$5:$A$26,0)),""))</f>
        <v/>
      </c>
      <c r="K279" s="7" t="n"/>
      <c r="L279" s="7" t="n"/>
      <c r="M279" s="26" t="n"/>
      <c r="N279" s="42" t="n"/>
      <c r="O279" s="26" t="n"/>
      <c r="P279" s="7" t="n"/>
      <c r="Q279" s="43" t="n"/>
      <c r="R279" s="43" t="n"/>
      <c r="S279" s="43" t="n"/>
      <c r="T279" s="7" t="n"/>
    </row>
    <row r="280">
      <c r="A280" s="26" t="n"/>
      <c r="B280" s="26" t="n"/>
      <c r="C280" s="7" t="n"/>
      <c r="D280" s="7" t="n"/>
      <c r="E280" s="7" t="n"/>
      <c r="F280" s="7" t="n"/>
      <c r="G280" s="26" t="n"/>
      <c r="H280" s="8">
        <f>IF($G280="","",IFERROR(INDEX(SAN_PHAM!$D$5:$D$26,MATCH($G280,SAN_PHAM!$A$5:$A$26,0)),"Sai mã SP"))</f>
        <v/>
      </c>
      <c r="I280" s="8">
        <f>IF(OR($G280="",$A280=""),"",IFERROR(INDEX(SAN_PHAM!$L$5:$L$26,MATCH($G280,SAN_PHAM!$A$5:$A$26,0))&amp;"?sub_id=ChiGiang-"&amp;SUBSTITUTE($A280,"-","")&amp;"-FBReels-SP"&amp;TEXT($G280,"00"),""))</f>
        <v/>
      </c>
      <c r="J280" s="8">
        <f>IF($G280="","",IFERROR(INDEX(SAN_PHAM!$N$5:$N$26,MATCH($G280,SAN_PHAM!$A$5:$A$26,0)),""))</f>
        <v/>
      </c>
      <c r="K280" s="7" t="n"/>
      <c r="L280" s="7" t="n"/>
      <c r="M280" s="26" t="n"/>
      <c r="N280" s="42" t="n"/>
      <c r="O280" s="26" t="n"/>
      <c r="P280" s="7" t="n"/>
      <c r="Q280" s="43" t="n"/>
      <c r="R280" s="43" t="n"/>
      <c r="S280" s="43" t="n"/>
      <c r="T280" s="7" t="n"/>
    </row>
    <row r="281">
      <c r="A281" s="26" t="n"/>
      <c r="B281" s="26" t="n"/>
      <c r="C281" s="7" t="n"/>
      <c r="D281" s="7" t="n"/>
      <c r="E281" s="7" t="n"/>
      <c r="F281" s="7" t="n"/>
      <c r="G281" s="26" t="n"/>
      <c r="H281" s="8">
        <f>IF($G281="","",IFERROR(INDEX(SAN_PHAM!$D$5:$D$26,MATCH($G281,SAN_PHAM!$A$5:$A$26,0)),"Sai mã SP"))</f>
        <v/>
      </c>
      <c r="I281" s="8">
        <f>IF(OR($G281="",$A281=""),"",IFERROR(INDEX(SAN_PHAM!$L$5:$L$26,MATCH($G281,SAN_PHAM!$A$5:$A$26,0))&amp;"?sub_id=ChiGiang-"&amp;SUBSTITUTE($A281,"-","")&amp;"-FBReels-SP"&amp;TEXT($G281,"00"),""))</f>
        <v/>
      </c>
      <c r="J281" s="8">
        <f>IF($G281="","",IFERROR(INDEX(SAN_PHAM!$N$5:$N$26,MATCH($G281,SAN_PHAM!$A$5:$A$26,0)),""))</f>
        <v/>
      </c>
      <c r="K281" s="7" t="n"/>
      <c r="L281" s="7" t="n"/>
      <c r="M281" s="26" t="n"/>
      <c r="N281" s="42" t="n"/>
      <c r="O281" s="26" t="n"/>
      <c r="P281" s="7" t="n"/>
      <c r="Q281" s="43" t="n"/>
      <c r="R281" s="43" t="n"/>
      <c r="S281" s="43" t="n"/>
      <c r="T281" s="7" t="n"/>
    </row>
    <row r="282">
      <c r="A282" s="26" t="n"/>
      <c r="B282" s="26" t="n"/>
      <c r="C282" s="7" t="n"/>
      <c r="D282" s="7" t="n"/>
      <c r="E282" s="7" t="n"/>
      <c r="F282" s="7" t="n"/>
      <c r="G282" s="26" t="n"/>
      <c r="H282" s="8">
        <f>IF($G282="","",IFERROR(INDEX(SAN_PHAM!$D$5:$D$26,MATCH($G282,SAN_PHAM!$A$5:$A$26,0)),"Sai mã SP"))</f>
        <v/>
      </c>
      <c r="I282" s="8">
        <f>IF(OR($G282="",$A282=""),"",IFERROR(INDEX(SAN_PHAM!$L$5:$L$26,MATCH($G282,SAN_PHAM!$A$5:$A$26,0))&amp;"?sub_id=ChiGiang-"&amp;SUBSTITUTE($A282,"-","")&amp;"-FBReels-SP"&amp;TEXT($G282,"00"),""))</f>
        <v/>
      </c>
      <c r="J282" s="8">
        <f>IF($G282="","",IFERROR(INDEX(SAN_PHAM!$N$5:$N$26,MATCH($G282,SAN_PHAM!$A$5:$A$26,0)),""))</f>
        <v/>
      </c>
      <c r="K282" s="7" t="n"/>
      <c r="L282" s="7" t="n"/>
      <c r="M282" s="26" t="n"/>
      <c r="N282" s="42" t="n"/>
      <c r="O282" s="26" t="n"/>
      <c r="P282" s="7" t="n"/>
      <c r="Q282" s="43" t="n"/>
      <c r="R282" s="43" t="n"/>
      <c r="S282" s="43" t="n"/>
      <c r="T282" s="7" t="n"/>
    </row>
    <row r="283">
      <c r="A283" s="26" t="n"/>
      <c r="B283" s="26" t="n"/>
      <c r="C283" s="7" t="n"/>
      <c r="D283" s="7" t="n"/>
      <c r="E283" s="7" t="n"/>
      <c r="F283" s="7" t="n"/>
      <c r="G283" s="26" t="n"/>
      <c r="H283" s="8">
        <f>IF($G283="","",IFERROR(INDEX(SAN_PHAM!$D$5:$D$26,MATCH($G283,SAN_PHAM!$A$5:$A$26,0)),"Sai mã SP"))</f>
        <v/>
      </c>
      <c r="I283" s="8">
        <f>IF(OR($G283="",$A283=""),"",IFERROR(INDEX(SAN_PHAM!$L$5:$L$26,MATCH($G283,SAN_PHAM!$A$5:$A$26,0))&amp;"?sub_id=ChiGiang-"&amp;SUBSTITUTE($A283,"-","")&amp;"-FBReels-SP"&amp;TEXT($G283,"00"),""))</f>
        <v/>
      </c>
      <c r="J283" s="8">
        <f>IF($G283="","",IFERROR(INDEX(SAN_PHAM!$N$5:$N$26,MATCH($G283,SAN_PHAM!$A$5:$A$26,0)),""))</f>
        <v/>
      </c>
      <c r="K283" s="7" t="n"/>
      <c r="L283" s="7" t="n"/>
      <c r="M283" s="26" t="n"/>
      <c r="N283" s="42" t="n"/>
      <c r="O283" s="26" t="n"/>
      <c r="P283" s="7" t="n"/>
      <c r="Q283" s="43" t="n"/>
      <c r="R283" s="43" t="n"/>
      <c r="S283" s="43" t="n"/>
      <c r="T283" s="7" t="n"/>
    </row>
    <row r="284">
      <c r="A284" s="26" t="n"/>
      <c r="B284" s="26" t="n"/>
      <c r="C284" s="7" t="n"/>
      <c r="D284" s="7" t="n"/>
      <c r="E284" s="7" t="n"/>
      <c r="F284" s="7" t="n"/>
      <c r="G284" s="26" t="n"/>
      <c r="H284" s="8">
        <f>IF($G284="","",IFERROR(INDEX(SAN_PHAM!$D$5:$D$26,MATCH($G284,SAN_PHAM!$A$5:$A$26,0)),"Sai mã SP"))</f>
        <v/>
      </c>
      <c r="I284" s="8">
        <f>IF(OR($G284="",$A284=""),"",IFERROR(INDEX(SAN_PHAM!$L$5:$L$26,MATCH($G284,SAN_PHAM!$A$5:$A$26,0))&amp;"?sub_id=ChiGiang-"&amp;SUBSTITUTE($A284,"-","")&amp;"-FBReels-SP"&amp;TEXT($G284,"00"),""))</f>
        <v/>
      </c>
      <c r="J284" s="8">
        <f>IF($G284="","",IFERROR(INDEX(SAN_PHAM!$N$5:$N$26,MATCH($G284,SAN_PHAM!$A$5:$A$26,0)),""))</f>
        <v/>
      </c>
      <c r="K284" s="7" t="n"/>
      <c r="L284" s="7" t="n"/>
      <c r="M284" s="26" t="n"/>
      <c r="N284" s="42" t="n"/>
      <c r="O284" s="26" t="n"/>
      <c r="P284" s="7" t="n"/>
      <c r="Q284" s="43" t="n"/>
      <c r="R284" s="43" t="n"/>
      <c r="S284" s="43" t="n"/>
      <c r="T284" s="7" t="n"/>
    </row>
    <row r="285">
      <c r="A285" s="26" t="n"/>
      <c r="B285" s="26" t="n"/>
      <c r="C285" s="7" t="n"/>
      <c r="D285" s="7" t="n"/>
      <c r="E285" s="7" t="n"/>
      <c r="F285" s="7" t="n"/>
      <c r="G285" s="26" t="n"/>
      <c r="H285" s="8">
        <f>IF($G285="","",IFERROR(INDEX(SAN_PHAM!$D$5:$D$26,MATCH($G285,SAN_PHAM!$A$5:$A$26,0)),"Sai mã SP"))</f>
        <v/>
      </c>
      <c r="I285" s="8">
        <f>IF(OR($G285="",$A285=""),"",IFERROR(INDEX(SAN_PHAM!$L$5:$L$26,MATCH($G285,SAN_PHAM!$A$5:$A$26,0))&amp;"?sub_id=ChiGiang-"&amp;SUBSTITUTE($A285,"-","")&amp;"-FBReels-SP"&amp;TEXT($G285,"00"),""))</f>
        <v/>
      </c>
      <c r="J285" s="8">
        <f>IF($G285="","",IFERROR(INDEX(SAN_PHAM!$N$5:$N$26,MATCH($G285,SAN_PHAM!$A$5:$A$26,0)),""))</f>
        <v/>
      </c>
      <c r="K285" s="7" t="n"/>
      <c r="L285" s="7" t="n"/>
      <c r="M285" s="26" t="n"/>
      <c r="N285" s="42" t="n"/>
      <c r="O285" s="26" t="n"/>
      <c r="P285" s="7" t="n"/>
      <c r="Q285" s="43" t="n"/>
      <c r="R285" s="43" t="n"/>
      <c r="S285" s="43" t="n"/>
      <c r="T285" s="7" t="n"/>
    </row>
    <row r="286">
      <c r="A286" s="26" t="n"/>
      <c r="B286" s="26" t="n"/>
      <c r="C286" s="7" t="n"/>
      <c r="D286" s="7" t="n"/>
      <c r="E286" s="7" t="n"/>
      <c r="F286" s="7" t="n"/>
      <c r="G286" s="26" t="n"/>
      <c r="H286" s="8">
        <f>IF($G286="","",IFERROR(INDEX(SAN_PHAM!$D$5:$D$26,MATCH($G286,SAN_PHAM!$A$5:$A$26,0)),"Sai mã SP"))</f>
        <v/>
      </c>
      <c r="I286" s="8">
        <f>IF(OR($G286="",$A286=""),"",IFERROR(INDEX(SAN_PHAM!$L$5:$L$26,MATCH($G286,SAN_PHAM!$A$5:$A$26,0))&amp;"?sub_id=ChiGiang-"&amp;SUBSTITUTE($A286,"-","")&amp;"-FBReels-SP"&amp;TEXT($G286,"00"),""))</f>
        <v/>
      </c>
      <c r="J286" s="8">
        <f>IF($G286="","",IFERROR(INDEX(SAN_PHAM!$N$5:$N$26,MATCH($G286,SAN_PHAM!$A$5:$A$26,0)),""))</f>
        <v/>
      </c>
      <c r="K286" s="7" t="n"/>
      <c r="L286" s="7" t="n"/>
      <c r="M286" s="26" t="n"/>
      <c r="N286" s="42" t="n"/>
      <c r="O286" s="26" t="n"/>
      <c r="P286" s="7" t="n"/>
      <c r="Q286" s="43" t="n"/>
      <c r="R286" s="43" t="n"/>
      <c r="S286" s="43" t="n"/>
      <c r="T286" s="7" t="n"/>
    </row>
    <row r="287">
      <c r="A287" s="26" t="n"/>
      <c r="B287" s="26" t="n"/>
      <c r="C287" s="7" t="n"/>
      <c r="D287" s="7" t="n"/>
      <c r="E287" s="7" t="n"/>
      <c r="F287" s="7" t="n"/>
      <c r="G287" s="26" t="n"/>
      <c r="H287" s="8">
        <f>IF($G287="","",IFERROR(INDEX(SAN_PHAM!$D$5:$D$26,MATCH($G287,SAN_PHAM!$A$5:$A$26,0)),"Sai mã SP"))</f>
        <v/>
      </c>
      <c r="I287" s="8">
        <f>IF(OR($G287="",$A287=""),"",IFERROR(INDEX(SAN_PHAM!$L$5:$L$26,MATCH($G287,SAN_PHAM!$A$5:$A$26,0))&amp;"?sub_id=ChiGiang-"&amp;SUBSTITUTE($A287,"-","")&amp;"-FBReels-SP"&amp;TEXT($G287,"00"),""))</f>
        <v/>
      </c>
      <c r="J287" s="8">
        <f>IF($G287="","",IFERROR(INDEX(SAN_PHAM!$N$5:$N$26,MATCH($G287,SAN_PHAM!$A$5:$A$26,0)),""))</f>
        <v/>
      </c>
      <c r="K287" s="7" t="n"/>
      <c r="L287" s="7" t="n"/>
      <c r="M287" s="26" t="n"/>
      <c r="N287" s="42" t="n"/>
      <c r="O287" s="26" t="n"/>
      <c r="P287" s="7" t="n"/>
      <c r="Q287" s="43" t="n"/>
      <c r="R287" s="43" t="n"/>
      <c r="S287" s="43" t="n"/>
      <c r="T287" s="7" t="n"/>
    </row>
    <row r="288">
      <c r="A288" s="26" t="n"/>
      <c r="B288" s="26" t="n"/>
      <c r="C288" s="7" t="n"/>
      <c r="D288" s="7" t="n"/>
      <c r="E288" s="7" t="n"/>
      <c r="F288" s="7" t="n"/>
      <c r="G288" s="26" t="n"/>
      <c r="H288" s="8">
        <f>IF($G288="","",IFERROR(INDEX(SAN_PHAM!$D$5:$D$26,MATCH($G288,SAN_PHAM!$A$5:$A$26,0)),"Sai mã SP"))</f>
        <v/>
      </c>
      <c r="I288" s="8">
        <f>IF(OR($G288="",$A288=""),"",IFERROR(INDEX(SAN_PHAM!$L$5:$L$26,MATCH($G288,SAN_PHAM!$A$5:$A$26,0))&amp;"?sub_id=ChiGiang-"&amp;SUBSTITUTE($A288,"-","")&amp;"-FBReels-SP"&amp;TEXT($G288,"00"),""))</f>
        <v/>
      </c>
      <c r="J288" s="8">
        <f>IF($G288="","",IFERROR(INDEX(SAN_PHAM!$N$5:$N$26,MATCH($G288,SAN_PHAM!$A$5:$A$26,0)),""))</f>
        <v/>
      </c>
      <c r="K288" s="7" t="n"/>
      <c r="L288" s="7" t="n"/>
      <c r="M288" s="26" t="n"/>
      <c r="N288" s="42" t="n"/>
      <c r="O288" s="26" t="n"/>
      <c r="P288" s="7" t="n"/>
      <c r="Q288" s="43" t="n"/>
      <c r="R288" s="43" t="n"/>
      <c r="S288" s="43" t="n"/>
      <c r="T288" s="7" t="n"/>
    </row>
    <row r="289">
      <c r="A289" s="26" t="n"/>
      <c r="B289" s="26" t="n"/>
      <c r="C289" s="7" t="n"/>
      <c r="D289" s="7" t="n"/>
      <c r="E289" s="7" t="n"/>
      <c r="F289" s="7" t="n"/>
      <c r="G289" s="26" t="n"/>
      <c r="H289" s="8">
        <f>IF($G289="","",IFERROR(INDEX(SAN_PHAM!$D$5:$D$26,MATCH($G289,SAN_PHAM!$A$5:$A$26,0)),"Sai mã SP"))</f>
        <v/>
      </c>
      <c r="I289" s="8">
        <f>IF(OR($G289="",$A289=""),"",IFERROR(INDEX(SAN_PHAM!$L$5:$L$26,MATCH($G289,SAN_PHAM!$A$5:$A$26,0))&amp;"?sub_id=ChiGiang-"&amp;SUBSTITUTE($A289,"-","")&amp;"-FBReels-SP"&amp;TEXT($G289,"00"),""))</f>
        <v/>
      </c>
      <c r="J289" s="8">
        <f>IF($G289="","",IFERROR(INDEX(SAN_PHAM!$N$5:$N$26,MATCH($G289,SAN_PHAM!$A$5:$A$26,0)),""))</f>
        <v/>
      </c>
      <c r="K289" s="7" t="n"/>
      <c r="L289" s="7" t="n"/>
      <c r="M289" s="26" t="n"/>
      <c r="N289" s="42" t="n"/>
      <c r="O289" s="26" t="n"/>
      <c r="P289" s="7" t="n"/>
      <c r="Q289" s="43" t="n"/>
      <c r="R289" s="43" t="n"/>
      <c r="S289" s="43" t="n"/>
      <c r="T289" s="7" t="n"/>
    </row>
    <row r="290">
      <c r="A290" s="26" t="n"/>
      <c r="B290" s="26" t="n"/>
      <c r="C290" s="7" t="n"/>
      <c r="D290" s="7" t="n"/>
      <c r="E290" s="7" t="n"/>
      <c r="F290" s="7" t="n"/>
      <c r="G290" s="26" t="n"/>
      <c r="H290" s="8">
        <f>IF($G290="","",IFERROR(INDEX(SAN_PHAM!$D$5:$D$26,MATCH($G290,SAN_PHAM!$A$5:$A$26,0)),"Sai mã SP"))</f>
        <v/>
      </c>
      <c r="I290" s="8">
        <f>IF(OR($G290="",$A290=""),"",IFERROR(INDEX(SAN_PHAM!$L$5:$L$26,MATCH($G290,SAN_PHAM!$A$5:$A$26,0))&amp;"?sub_id=ChiGiang-"&amp;SUBSTITUTE($A290,"-","")&amp;"-FBReels-SP"&amp;TEXT($G290,"00"),""))</f>
        <v/>
      </c>
      <c r="J290" s="8">
        <f>IF($G290="","",IFERROR(INDEX(SAN_PHAM!$N$5:$N$26,MATCH($G290,SAN_PHAM!$A$5:$A$26,0)),""))</f>
        <v/>
      </c>
      <c r="K290" s="7" t="n"/>
      <c r="L290" s="7" t="n"/>
      <c r="M290" s="26" t="n"/>
      <c r="N290" s="42" t="n"/>
      <c r="O290" s="26" t="n"/>
      <c r="P290" s="7" t="n"/>
      <c r="Q290" s="43" t="n"/>
      <c r="R290" s="43" t="n"/>
      <c r="S290" s="43" t="n"/>
      <c r="T290" s="7" t="n"/>
    </row>
    <row r="291">
      <c r="A291" s="26" t="n"/>
      <c r="B291" s="26" t="n"/>
      <c r="C291" s="7" t="n"/>
      <c r="D291" s="7" t="n"/>
      <c r="E291" s="7" t="n"/>
      <c r="F291" s="7" t="n"/>
      <c r="G291" s="26" t="n"/>
      <c r="H291" s="8">
        <f>IF($G291="","",IFERROR(INDEX(SAN_PHAM!$D$5:$D$26,MATCH($G291,SAN_PHAM!$A$5:$A$26,0)),"Sai mã SP"))</f>
        <v/>
      </c>
      <c r="I291" s="8">
        <f>IF(OR($G291="",$A291=""),"",IFERROR(INDEX(SAN_PHAM!$L$5:$L$26,MATCH($G291,SAN_PHAM!$A$5:$A$26,0))&amp;"?sub_id=ChiGiang-"&amp;SUBSTITUTE($A291,"-","")&amp;"-FBReels-SP"&amp;TEXT($G291,"00"),""))</f>
        <v/>
      </c>
      <c r="J291" s="8">
        <f>IF($G291="","",IFERROR(INDEX(SAN_PHAM!$N$5:$N$26,MATCH($G291,SAN_PHAM!$A$5:$A$26,0)),""))</f>
        <v/>
      </c>
      <c r="K291" s="7" t="n"/>
      <c r="L291" s="7" t="n"/>
      <c r="M291" s="26" t="n"/>
      <c r="N291" s="42" t="n"/>
      <c r="O291" s="26" t="n"/>
      <c r="P291" s="7" t="n"/>
      <c r="Q291" s="43" t="n"/>
      <c r="R291" s="43" t="n"/>
      <c r="S291" s="43" t="n"/>
      <c r="T291" s="7" t="n"/>
    </row>
    <row r="292">
      <c r="A292" s="26" t="n"/>
      <c r="B292" s="26" t="n"/>
      <c r="C292" s="7" t="n"/>
      <c r="D292" s="7" t="n"/>
      <c r="E292" s="7" t="n"/>
      <c r="F292" s="7" t="n"/>
      <c r="G292" s="26" t="n"/>
      <c r="H292" s="8">
        <f>IF($G292="","",IFERROR(INDEX(SAN_PHAM!$D$5:$D$26,MATCH($G292,SAN_PHAM!$A$5:$A$26,0)),"Sai mã SP"))</f>
        <v/>
      </c>
      <c r="I292" s="8">
        <f>IF(OR($G292="",$A292=""),"",IFERROR(INDEX(SAN_PHAM!$L$5:$L$26,MATCH($G292,SAN_PHAM!$A$5:$A$26,0))&amp;"?sub_id=ChiGiang-"&amp;SUBSTITUTE($A292,"-","")&amp;"-FBReels-SP"&amp;TEXT($G292,"00"),""))</f>
        <v/>
      </c>
      <c r="J292" s="8">
        <f>IF($G292="","",IFERROR(INDEX(SAN_PHAM!$N$5:$N$26,MATCH($G292,SAN_PHAM!$A$5:$A$26,0)),""))</f>
        <v/>
      </c>
      <c r="K292" s="7" t="n"/>
      <c r="L292" s="7" t="n"/>
      <c r="M292" s="26" t="n"/>
      <c r="N292" s="42" t="n"/>
      <c r="O292" s="26" t="n"/>
      <c r="P292" s="7" t="n"/>
      <c r="Q292" s="43" t="n"/>
      <c r="R292" s="43" t="n"/>
      <c r="S292" s="43" t="n"/>
      <c r="T292" s="7" t="n"/>
    </row>
    <row r="293">
      <c r="A293" s="26" t="n"/>
      <c r="B293" s="26" t="n"/>
      <c r="C293" s="7" t="n"/>
      <c r="D293" s="7" t="n"/>
      <c r="E293" s="7" t="n"/>
      <c r="F293" s="7" t="n"/>
      <c r="G293" s="26" t="n"/>
      <c r="H293" s="8">
        <f>IF($G293="","",IFERROR(INDEX(SAN_PHAM!$D$5:$D$26,MATCH($G293,SAN_PHAM!$A$5:$A$26,0)),"Sai mã SP"))</f>
        <v/>
      </c>
      <c r="I293" s="8">
        <f>IF(OR($G293="",$A293=""),"",IFERROR(INDEX(SAN_PHAM!$L$5:$L$26,MATCH($G293,SAN_PHAM!$A$5:$A$26,0))&amp;"?sub_id=ChiGiang-"&amp;SUBSTITUTE($A293,"-","")&amp;"-FBReels-SP"&amp;TEXT($G293,"00"),""))</f>
        <v/>
      </c>
      <c r="J293" s="8">
        <f>IF($G293="","",IFERROR(INDEX(SAN_PHAM!$N$5:$N$26,MATCH($G293,SAN_PHAM!$A$5:$A$26,0)),""))</f>
        <v/>
      </c>
      <c r="K293" s="7" t="n"/>
      <c r="L293" s="7" t="n"/>
      <c r="M293" s="26" t="n"/>
      <c r="N293" s="42" t="n"/>
      <c r="O293" s="26" t="n"/>
      <c r="P293" s="7" t="n"/>
      <c r="Q293" s="43" t="n"/>
      <c r="R293" s="43" t="n"/>
      <c r="S293" s="43" t="n"/>
      <c r="T293" s="7" t="n"/>
    </row>
    <row r="294">
      <c r="A294" s="26" t="n"/>
      <c r="B294" s="26" t="n"/>
      <c r="C294" s="7" t="n"/>
      <c r="D294" s="7" t="n"/>
      <c r="E294" s="7" t="n"/>
      <c r="F294" s="7" t="n"/>
      <c r="G294" s="26" t="n"/>
      <c r="H294" s="8">
        <f>IF($G294="","",IFERROR(INDEX(SAN_PHAM!$D$5:$D$26,MATCH($G294,SAN_PHAM!$A$5:$A$26,0)),"Sai mã SP"))</f>
        <v/>
      </c>
      <c r="I294" s="8">
        <f>IF(OR($G294="",$A294=""),"",IFERROR(INDEX(SAN_PHAM!$L$5:$L$26,MATCH($G294,SAN_PHAM!$A$5:$A$26,0))&amp;"?sub_id=ChiGiang-"&amp;SUBSTITUTE($A294,"-","")&amp;"-FBReels-SP"&amp;TEXT($G294,"00"),""))</f>
        <v/>
      </c>
      <c r="J294" s="8">
        <f>IF($G294="","",IFERROR(INDEX(SAN_PHAM!$N$5:$N$26,MATCH($G294,SAN_PHAM!$A$5:$A$26,0)),""))</f>
        <v/>
      </c>
      <c r="K294" s="7" t="n"/>
      <c r="L294" s="7" t="n"/>
      <c r="M294" s="26" t="n"/>
      <c r="N294" s="42" t="n"/>
      <c r="O294" s="26" t="n"/>
      <c r="P294" s="7" t="n"/>
      <c r="Q294" s="43" t="n"/>
      <c r="R294" s="43" t="n"/>
      <c r="S294" s="43" t="n"/>
      <c r="T294" s="7" t="n"/>
    </row>
    <row r="295">
      <c r="A295" s="26" t="n"/>
      <c r="B295" s="26" t="n"/>
      <c r="C295" s="7" t="n"/>
      <c r="D295" s="7" t="n"/>
      <c r="E295" s="7" t="n"/>
      <c r="F295" s="7" t="n"/>
      <c r="G295" s="26" t="n"/>
      <c r="H295" s="8">
        <f>IF($G295="","",IFERROR(INDEX(SAN_PHAM!$D$5:$D$26,MATCH($G295,SAN_PHAM!$A$5:$A$26,0)),"Sai mã SP"))</f>
        <v/>
      </c>
      <c r="I295" s="8">
        <f>IF(OR($G295="",$A295=""),"",IFERROR(INDEX(SAN_PHAM!$L$5:$L$26,MATCH($G295,SAN_PHAM!$A$5:$A$26,0))&amp;"?sub_id=ChiGiang-"&amp;SUBSTITUTE($A295,"-","")&amp;"-FBReels-SP"&amp;TEXT($G295,"00"),""))</f>
        <v/>
      </c>
      <c r="J295" s="8">
        <f>IF($G295="","",IFERROR(INDEX(SAN_PHAM!$N$5:$N$26,MATCH($G295,SAN_PHAM!$A$5:$A$26,0)),""))</f>
        <v/>
      </c>
      <c r="K295" s="7" t="n"/>
      <c r="L295" s="7" t="n"/>
      <c r="M295" s="26" t="n"/>
      <c r="N295" s="42" t="n"/>
      <c r="O295" s="26" t="n"/>
      <c r="P295" s="7" t="n"/>
      <c r="Q295" s="43" t="n"/>
      <c r="R295" s="43" t="n"/>
      <c r="S295" s="43" t="n"/>
      <c r="T295" s="7" t="n"/>
    </row>
    <row r="296">
      <c r="A296" s="26" t="n"/>
      <c r="B296" s="26" t="n"/>
      <c r="C296" s="7" t="n"/>
      <c r="D296" s="7" t="n"/>
      <c r="E296" s="7" t="n"/>
      <c r="F296" s="7" t="n"/>
      <c r="G296" s="26" t="n"/>
      <c r="H296" s="8">
        <f>IF($G296="","",IFERROR(INDEX(SAN_PHAM!$D$5:$D$26,MATCH($G296,SAN_PHAM!$A$5:$A$26,0)),"Sai mã SP"))</f>
        <v/>
      </c>
      <c r="I296" s="8">
        <f>IF(OR($G296="",$A296=""),"",IFERROR(INDEX(SAN_PHAM!$L$5:$L$26,MATCH($G296,SAN_PHAM!$A$5:$A$26,0))&amp;"?sub_id=ChiGiang-"&amp;SUBSTITUTE($A296,"-","")&amp;"-FBReels-SP"&amp;TEXT($G296,"00"),""))</f>
        <v/>
      </c>
      <c r="J296" s="8">
        <f>IF($G296="","",IFERROR(INDEX(SAN_PHAM!$N$5:$N$26,MATCH($G296,SAN_PHAM!$A$5:$A$26,0)),""))</f>
        <v/>
      </c>
      <c r="K296" s="7" t="n"/>
      <c r="L296" s="7" t="n"/>
      <c r="M296" s="26" t="n"/>
      <c r="N296" s="42" t="n"/>
      <c r="O296" s="26" t="n"/>
      <c r="P296" s="7" t="n"/>
      <c r="Q296" s="43" t="n"/>
      <c r="R296" s="43" t="n"/>
      <c r="S296" s="43" t="n"/>
      <c r="T296" s="7" t="n"/>
    </row>
    <row r="297">
      <c r="A297" s="26" t="n"/>
      <c r="B297" s="26" t="n"/>
      <c r="C297" s="7" t="n"/>
      <c r="D297" s="7" t="n"/>
      <c r="E297" s="7" t="n"/>
      <c r="F297" s="7" t="n"/>
      <c r="G297" s="26" t="n"/>
      <c r="H297" s="8">
        <f>IF($G297="","",IFERROR(INDEX(SAN_PHAM!$D$5:$D$26,MATCH($G297,SAN_PHAM!$A$5:$A$26,0)),"Sai mã SP"))</f>
        <v/>
      </c>
      <c r="I297" s="8">
        <f>IF(OR($G297="",$A297=""),"",IFERROR(INDEX(SAN_PHAM!$L$5:$L$26,MATCH($G297,SAN_PHAM!$A$5:$A$26,0))&amp;"?sub_id=ChiGiang-"&amp;SUBSTITUTE($A297,"-","")&amp;"-FBReels-SP"&amp;TEXT($G297,"00"),""))</f>
        <v/>
      </c>
      <c r="J297" s="8">
        <f>IF($G297="","",IFERROR(INDEX(SAN_PHAM!$N$5:$N$26,MATCH($G297,SAN_PHAM!$A$5:$A$26,0)),""))</f>
        <v/>
      </c>
      <c r="K297" s="7" t="n"/>
      <c r="L297" s="7" t="n"/>
      <c r="M297" s="26" t="n"/>
      <c r="N297" s="42" t="n"/>
      <c r="O297" s="26" t="n"/>
      <c r="P297" s="7" t="n"/>
      <c r="Q297" s="43" t="n"/>
      <c r="R297" s="43" t="n"/>
      <c r="S297" s="43" t="n"/>
      <c r="T297" s="7" t="n"/>
    </row>
    <row r="298">
      <c r="A298" s="26" t="n"/>
      <c r="B298" s="26" t="n"/>
      <c r="C298" s="7" t="n"/>
      <c r="D298" s="7" t="n"/>
      <c r="E298" s="7" t="n"/>
      <c r="F298" s="7" t="n"/>
      <c r="G298" s="26" t="n"/>
      <c r="H298" s="8">
        <f>IF($G298="","",IFERROR(INDEX(SAN_PHAM!$D$5:$D$26,MATCH($G298,SAN_PHAM!$A$5:$A$26,0)),"Sai mã SP"))</f>
        <v/>
      </c>
      <c r="I298" s="8">
        <f>IF(OR($G298="",$A298=""),"",IFERROR(INDEX(SAN_PHAM!$L$5:$L$26,MATCH($G298,SAN_PHAM!$A$5:$A$26,0))&amp;"?sub_id=ChiGiang-"&amp;SUBSTITUTE($A298,"-","")&amp;"-FBReels-SP"&amp;TEXT($G298,"00"),""))</f>
        <v/>
      </c>
      <c r="J298" s="8">
        <f>IF($G298="","",IFERROR(INDEX(SAN_PHAM!$N$5:$N$26,MATCH($G298,SAN_PHAM!$A$5:$A$26,0)),""))</f>
        <v/>
      </c>
      <c r="K298" s="7" t="n"/>
      <c r="L298" s="7" t="n"/>
      <c r="M298" s="26" t="n"/>
      <c r="N298" s="42" t="n"/>
      <c r="O298" s="26" t="n"/>
      <c r="P298" s="7" t="n"/>
      <c r="Q298" s="43" t="n"/>
      <c r="R298" s="43" t="n"/>
      <c r="S298" s="43" t="n"/>
      <c r="T298" s="7" t="n"/>
    </row>
    <row r="299">
      <c r="A299" s="26" t="n"/>
      <c r="B299" s="26" t="n"/>
      <c r="C299" s="7" t="n"/>
      <c r="D299" s="7" t="n"/>
      <c r="E299" s="7" t="n"/>
      <c r="F299" s="7" t="n"/>
      <c r="G299" s="26" t="n"/>
      <c r="H299" s="8">
        <f>IF($G299="","",IFERROR(INDEX(SAN_PHAM!$D$5:$D$26,MATCH($G299,SAN_PHAM!$A$5:$A$26,0)),"Sai mã SP"))</f>
        <v/>
      </c>
      <c r="I299" s="8">
        <f>IF(OR($G299="",$A299=""),"",IFERROR(INDEX(SAN_PHAM!$L$5:$L$26,MATCH($G299,SAN_PHAM!$A$5:$A$26,0))&amp;"?sub_id=ChiGiang-"&amp;SUBSTITUTE($A299,"-","")&amp;"-FBReels-SP"&amp;TEXT($G299,"00"),""))</f>
        <v/>
      </c>
      <c r="J299" s="8">
        <f>IF($G299="","",IFERROR(INDEX(SAN_PHAM!$N$5:$N$26,MATCH($G299,SAN_PHAM!$A$5:$A$26,0)),""))</f>
        <v/>
      </c>
      <c r="K299" s="7" t="n"/>
      <c r="L299" s="7" t="n"/>
      <c r="M299" s="26" t="n"/>
      <c r="N299" s="42" t="n"/>
      <c r="O299" s="26" t="n"/>
      <c r="P299" s="7" t="n"/>
      <c r="Q299" s="43" t="n"/>
      <c r="R299" s="43" t="n"/>
      <c r="S299" s="43" t="n"/>
      <c r="T299" s="7" t="n"/>
    </row>
    <row r="300">
      <c r="A300" s="26" t="n"/>
      <c r="B300" s="26" t="n"/>
      <c r="C300" s="7" t="n"/>
      <c r="D300" s="7" t="n"/>
      <c r="E300" s="7" t="n"/>
      <c r="F300" s="7" t="n"/>
      <c r="G300" s="26" t="n"/>
      <c r="H300" s="8">
        <f>IF($G300="","",IFERROR(INDEX(SAN_PHAM!$D$5:$D$26,MATCH($G300,SAN_PHAM!$A$5:$A$26,0)),"Sai mã SP"))</f>
        <v/>
      </c>
      <c r="I300" s="8">
        <f>IF(OR($G300="",$A300=""),"",IFERROR(INDEX(SAN_PHAM!$L$5:$L$26,MATCH($G300,SAN_PHAM!$A$5:$A$26,0))&amp;"?sub_id=ChiGiang-"&amp;SUBSTITUTE($A300,"-","")&amp;"-FBReels-SP"&amp;TEXT($G300,"00"),""))</f>
        <v/>
      </c>
      <c r="J300" s="8">
        <f>IF($G300="","",IFERROR(INDEX(SAN_PHAM!$N$5:$N$26,MATCH($G300,SAN_PHAM!$A$5:$A$26,0)),""))</f>
        <v/>
      </c>
      <c r="K300" s="7" t="n"/>
      <c r="L300" s="7" t="n"/>
      <c r="M300" s="26" t="n"/>
      <c r="N300" s="42" t="n"/>
      <c r="O300" s="26" t="n"/>
      <c r="P300" s="7" t="n"/>
      <c r="Q300" s="43" t="n"/>
      <c r="R300" s="43" t="n"/>
      <c r="S300" s="43" t="n"/>
      <c r="T300" s="7" t="n"/>
    </row>
    <row r="301">
      <c r="A301" s="26" t="n"/>
      <c r="B301" s="26" t="n"/>
      <c r="C301" s="7" t="n"/>
      <c r="D301" s="7" t="n"/>
      <c r="E301" s="7" t="n"/>
      <c r="F301" s="7" t="n"/>
      <c r="G301" s="26" t="n"/>
      <c r="H301" s="8">
        <f>IF($G301="","",IFERROR(INDEX(SAN_PHAM!$D$5:$D$26,MATCH($G301,SAN_PHAM!$A$5:$A$26,0)),"Sai mã SP"))</f>
        <v/>
      </c>
      <c r="I301" s="8">
        <f>IF(OR($G301="",$A301=""),"",IFERROR(INDEX(SAN_PHAM!$L$5:$L$26,MATCH($G301,SAN_PHAM!$A$5:$A$26,0))&amp;"?sub_id=ChiGiang-"&amp;SUBSTITUTE($A301,"-","")&amp;"-FBReels-SP"&amp;TEXT($G301,"00"),""))</f>
        <v/>
      </c>
      <c r="J301" s="8">
        <f>IF($G301="","",IFERROR(INDEX(SAN_PHAM!$N$5:$N$26,MATCH($G301,SAN_PHAM!$A$5:$A$26,0)),""))</f>
        <v/>
      </c>
      <c r="K301" s="7" t="n"/>
      <c r="L301" s="7" t="n"/>
      <c r="M301" s="26" t="n"/>
      <c r="N301" s="42" t="n"/>
      <c r="O301" s="26" t="n"/>
      <c r="P301" s="7" t="n"/>
      <c r="Q301" s="43" t="n"/>
      <c r="R301" s="43" t="n"/>
      <c r="S301" s="43" t="n"/>
      <c r="T301" s="7" t="n"/>
    </row>
    <row r="302">
      <c r="A302" s="26" t="n"/>
      <c r="B302" s="26" t="n"/>
      <c r="C302" s="7" t="n"/>
      <c r="D302" s="7" t="n"/>
      <c r="E302" s="7" t="n"/>
      <c r="F302" s="7" t="n"/>
      <c r="G302" s="26" t="n"/>
      <c r="H302" s="8">
        <f>IF($G302="","",IFERROR(INDEX(SAN_PHAM!$D$5:$D$26,MATCH($G302,SAN_PHAM!$A$5:$A$26,0)),"Sai mã SP"))</f>
        <v/>
      </c>
      <c r="I302" s="8">
        <f>IF(OR($G302="",$A302=""),"",IFERROR(INDEX(SAN_PHAM!$L$5:$L$26,MATCH($G302,SAN_PHAM!$A$5:$A$26,0))&amp;"?sub_id=ChiGiang-"&amp;SUBSTITUTE($A302,"-","")&amp;"-FBReels-SP"&amp;TEXT($G302,"00"),""))</f>
        <v/>
      </c>
      <c r="J302" s="8">
        <f>IF($G302="","",IFERROR(INDEX(SAN_PHAM!$N$5:$N$26,MATCH($G302,SAN_PHAM!$A$5:$A$26,0)),""))</f>
        <v/>
      </c>
      <c r="K302" s="7" t="n"/>
      <c r="L302" s="7" t="n"/>
      <c r="M302" s="26" t="n"/>
      <c r="N302" s="42" t="n"/>
      <c r="O302" s="26" t="n"/>
      <c r="P302" s="7" t="n"/>
      <c r="Q302" s="43" t="n"/>
      <c r="R302" s="43" t="n"/>
      <c r="S302" s="43" t="n"/>
      <c r="T302" s="7" t="n"/>
    </row>
    <row r="303">
      <c r="A303" s="26" t="n"/>
      <c r="B303" s="26" t="n"/>
      <c r="C303" s="7" t="n"/>
      <c r="D303" s="7" t="n"/>
      <c r="E303" s="7" t="n"/>
      <c r="F303" s="7" t="n"/>
      <c r="G303" s="26" t="n"/>
      <c r="H303" s="8">
        <f>IF($G303="","",IFERROR(INDEX(SAN_PHAM!$D$5:$D$26,MATCH($G303,SAN_PHAM!$A$5:$A$26,0)),"Sai mã SP"))</f>
        <v/>
      </c>
      <c r="I303" s="8">
        <f>IF(OR($G303="",$A303=""),"",IFERROR(INDEX(SAN_PHAM!$L$5:$L$26,MATCH($G303,SAN_PHAM!$A$5:$A$26,0))&amp;"?sub_id=ChiGiang-"&amp;SUBSTITUTE($A303,"-","")&amp;"-FBReels-SP"&amp;TEXT($G303,"00"),""))</f>
        <v/>
      </c>
      <c r="J303" s="8">
        <f>IF($G303="","",IFERROR(INDEX(SAN_PHAM!$N$5:$N$26,MATCH($G303,SAN_PHAM!$A$5:$A$26,0)),""))</f>
        <v/>
      </c>
      <c r="K303" s="7" t="n"/>
      <c r="L303" s="7" t="n"/>
      <c r="M303" s="26" t="n"/>
      <c r="N303" s="42" t="n"/>
      <c r="O303" s="26" t="n"/>
      <c r="P303" s="7" t="n"/>
      <c r="Q303" s="43" t="n"/>
      <c r="R303" s="43" t="n"/>
      <c r="S303" s="43" t="n"/>
      <c r="T303" s="7" t="n"/>
    </row>
    <row r="304">
      <c r="A304" s="26" t="n"/>
      <c r="B304" s="26" t="n"/>
      <c r="C304" s="7" t="n"/>
      <c r="D304" s="7" t="n"/>
      <c r="E304" s="7" t="n"/>
      <c r="F304" s="7" t="n"/>
      <c r="G304" s="26" t="n"/>
      <c r="H304" s="8">
        <f>IF($G304="","",IFERROR(INDEX(SAN_PHAM!$D$5:$D$26,MATCH($G304,SAN_PHAM!$A$5:$A$26,0)),"Sai mã SP"))</f>
        <v/>
      </c>
      <c r="I304" s="8">
        <f>IF(OR($G304="",$A304=""),"",IFERROR(INDEX(SAN_PHAM!$L$5:$L$26,MATCH($G304,SAN_PHAM!$A$5:$A$26,0))&amp;"?sub_id=ChiGiang-"&amp;SUBSTITUTE($A304,"-","")&amp;"-FBReels-SP"&amp;TEXT($G304,"00"),""))</f>
        <v/>
      </c>
      <c r="J304" s="8">
        <f>IF($G304="","",IFERROR(INDEX(SAN_PHAM!$N$5:$N$26,MATCH($G304,SAN_PHAM!$A$5:$A$26,0)),""))</f>
        <v/>
      </c>
      <c r="K304" s="7" t="n"/>
      <c r="L304" s="7" t="n"/>
      <c r="M304" s="26" t="n"/>
      <c r="N304" s="42" t="n"/>
      <c r="O304" s="26" t="n"/>
      <c r="P304" s="7" t="n"/>
      <c r="Q304" s="43" t="n"/>
      <c r="R304" s="43" t="n"/>
      <c r="S304" s="43" t="n"/>
      <c r="T304" s="7" t="n"/>
    </row>
    <row r="305">
      <c r="A305" s="26" t="n"/>
      <c r="B305" s="26" t="n"/>
      <c r="C305" s="7" t="n"/>
      <c r="D305" s="7" t="n"/>
      <c r="E305" s="7" t="n"/>
      <c r="F305" s="7" t="n"/>
      <c r="G305" s="26" t="n"/>
      <c r="H305" s="8">
        <f>IF($G305="","",IFERROR(INDEX(SAN_PHAM!$D$5:$D$26,MATCH($G305,SAN_PHAM!$A$5:$A$26,0)),"Sai mã SP"))</f>
        <v/>
      </c>
      <c r="I305" s="8">
        <f>IF(OR($G305="",$A305=""),"",IFERROR(INDEX(SAN_PHAM!$L$5:$L$26,MATCH($G305,SAN_PHAM!$A$5:$A$26,0))&amp;"?sub_id=ChiGiang-"&amp;SUBSTITUTE($A305,"-","")&amp;"-FBReels-SP"&amp;TEXT($G305,"00"),""))</f>
        <v/>
      </c>
      <c r="J305" s="8">
        <f>IF($G305="","",IFERROR(INDEX(SAN_PHAM!$N$5:$N$26,MATCH($G305,SAN_PHAM!$A$5:$A$26,0)),""))</f>
        <v/>
      </c>
      <c r="K305" s="7" t="n"/>
      <c r="L305" s="7" t="n"/>
      <c r="M305" s="26" t="n"/>
      <c r="N305" s="42" t="n"/>
      <c r="O305" s="26" t="n"/>
      <c r="P305" s="7" t="n"/>
      <c r="Q305" s="43" t="n"/>
      <c r="R305" s="43" t="n"/>
      <c r="S305" s="43" t="n"/>
      <c r="T305" s="7" t="n"/>
    </row>
    <row r="306">
      <c r="A306" s="26" t="n"/>
      <c r="B306" s="26" t="n"/>
      <c r="C306" s="7" t="n"/>
      <c r="D306" s="7" t="n"/>
      <c r="E306" s="7" t="n"/>
      <c r="F306" s="7" t="n"/>
      <c r="G306" s="26" t="n"/>
      <c r="H306" s="8">
        <f>IF($G306="","",IFERROR(INDEX(SAN_PHAM!$D$5:$D$26,MATCH($G306,SAN_PHAM!$A$5:$A$26,0)),"Sai mã SP"))</f>
        <v/>
      </c>
      <c r="I306" s="8">
        <f>IF(OR($G306="",$A306=""),"",IFERROR(INDEX(SAN_PHAM!$L$5:$L$26,MATCH($G306,SAN_PHAM!$A$5:$A$26,0))&amp;"?sub_id=ChiGiang-"&amp;SUBSTITUTE($A306,"-","")&amp;"-FBReels-SP"&amp;TEXT($G306,"00"),""))</f>
        <v/>
      </c>
      <c r="J306" s="8">
        <f>IF($G306="","",IFERROR(INDEX(SAN_PHAM!$N$5:$N$26,MATCH($G306,SAN_PHAM!$A$5:$A$26,0)),""))</f>
        <v/>
      </c>
      <c r="K306" s="7" t="n"/>
      <c r="L306" s="7" t="n"/>
      <c r="M306" s="26" t="n"/>
      <c r="N306" s="42" t="n"/>
      <c r="O306" s="26" t="n"/>
      <c r="P306" s="7" t="n"/>
      <c r="Q306" s="43" t="n"/>
      <c r="R306" s="43" t="n"/>
      <c r="S306" s="43" t="n"/>
      <c r="T306" s="7" t="n"/>
    </row>
    <row r="307">
      <c r="A307" s="26" t="n"/>
      <c r="B307" s="26" t="n"/>
      <c r="C307" s="7" t="n"/>
      <c r="D307" s="7" t="n"/>
      <c r="E307" s="7" t="n"/>
      <c r="F307" s="7" t="n"/>
      <c r="G307" s="26" t="n"/>
      <c r="H307" s="8">
        <f>IF($G307="","",IFERROR(INDEX(SAN_PHAM!$D$5:$D$26,MATCH($G307,SAN_PHAM!$A$5:$A$26,0)),"Sai mã SP"))</f>
        <v/>
      </c>
      <c r="I307" s="8">
        <f>IF(OR($G307="",$A307=""),"",IFERROR(INDEX(SAN_PHAM!$L$5:$L$26,MATCH($G307,SAN_PHAM!$A$5:$A$26,0))&amp;"?sub_id=ChiGiang-"&amp;SUBSTITUTE($A307,"-","")&amp;"-FBReels-SP"&amp;TEXT($G307,"00"),""))</f>
        <v/>
      </c>
      <c r="J307" s="8">
        <f>IF($G307="","",IFERROR(INDEX(SAN_PHAM!$N$5:$N$26,MATCH($G307,SAN_PHAM!$A$5:$A$26,0)),""))</f>
        <v/>
      </c>
      <c r="K307" s="7" t="n"/>
      <c r="L307" s="7" t="n"/>
      <c r="M307" s="26" t="n"/>
      <c r="N307" s="42" t="n"/>
      <c r="O307" s="26" t="n"/>
      <c r="P307" s="7" t="n"/>
      <c r="Q307" s="43" t="n"/>
      <c r="R307" s="43" t="n"/>
      <c r="S307" s="43" t="n"/>
      <c r="T307" s="7" t="n"/>
    </row>
    <row r="308">
      <c r="A308" s="26" t="n"/>
      <c r="B308" s="26" t="n"/>
      <c r="C308" s="7" t="n"/>
      <c r="D308" s="7" t="n"/>
      <c r="E308" s="7" t="n"/>
      <c r="F308" s="7" t="n"/>
      <c r="G308" s="26" t="n"/>
      <c r="H308" s="8">
        <f>IF($G308="","",IFERROR(INDEX(SAN_PHAM!$D$5:$D$26,MATCH($G308,SAN_PHAM!$A$5:$A$26,0)),"Sai mã SP"))</f>
        <v/>
      </c>
      <c r="I308" s="8">
        <f>IF(OR($G308="",$A308=""),"",IFERROR(INDEX(SAN_PHAM!$L$5:$L$26,MATCH($G308,SAN_PHAM!$A$5:$A$26,0))&amp;"?sub_id=ChiGiang-"&amp;SUBSTITUTE($A308,"-","")&amp;"-FBReels-SP"&amp;TEXT($G308,"00"),""))</f>
        <v/>
      </c>
      <c r="J308" s="8">
        <f>IF($G308="","",IFERROR(INDEX(SAN_PHAM!$N$5:$N$26,MATCH($G308,SAN_PHAM!$A$5:$A$26,0)),""))</f>
        <v/>
      </c>
      <c r="K308" s="7" t="n"/>
      <c r="L308" s="7" t="n"/>
      <c r="M308" s="26" t="n"/>
      <c r="N308" s="42" t="n"/>
      <c r="O308" s="26" t="n"/>
      <c r="P308" s="7" t="n"/>
      <c r="Q308" s="43" t="n"/>
      <c r="R308" s="43" t="n"/>
      <c r="S308" s="43" t="n"/>
      <c r="T308" s="7" t="n"/>
    </row>
    <row r="309">
      <c r="A309" s="26" t="n"/>
      <c r="B309" s="26" t="n"/>
      <c r="C309" s="7" t="n"/>
      <c r="D309" s="7" t="n"/>
      <c r="E309" s="7" t="n"/>
      <c r="F309" s="7" t="n"/>
      <c r="G309" s="26" t="n"/>
      <c r="H309" s="8">
        <f>IF($G309="","",IFERROR(INDEX(SAN_PHAM!$D$5:$D$26,MATCH($G309,SAN_PHAM!$A$5:$A$26,0)),"Sai mã SP"))</f>
        <v/>
      </c>
      <c r="I309" s="8">
        <f>IF(OR($G309="",$A309=""),"",IFERROR(INDEX(SAN_PHAM!$L$5:$L$26,MATCH($G309,SAN_PHAM!$A$5:$A$26,0))&amp;"?sub_id=ChiGiang-"&amp;SUBSTITUTE($A309,"-","")&amp;"-FBReels-SP"&amp;TEXT($G309,"00"),""))</f>
        <v/>
      </c>
      <c r="J309" s="8">
        <f>IF($G309="","",IFERROR(INDEX(SAN_PHAM!$N$5:$N$26,MATCH($G309,SAN_PHAM!$A$5:$A$26,0)),""))</f>
        <v/>
      </c>
      <c r="K309" s="7" t="n"/>
      <c r="L309" s="7" t="n"/>
      <c r="M309" s="26" t="n"/>
      <c r="N309" s="42" t="n"/>
      <c r="O309" s="26" t="n"/>
      <c r="P309" s="7" t="n"/>
      <c r="Q309" s="43" t="n"/>
      <c r="R309" s="43" t="n"/>
      <c r="S309" s="43" t="n"/>
      <c r="T309" s="7" t="n"/>
    </row>
    <row r="310">
      <c r="A310" s="26" t="n"/>
      <c r="B310" s="26" t="n"/>
      <c r="C310" s="7" t="n"/>
      <c r="D310" s="7" t="n"/>
      <c r="E310" s="7" t="n"/>
      <c r="F310" s="7" t="n"/>
      <c r="G310" s="26" t="n"/>
      <c r="H310" s="8">
        <f>IF($G310="","",IFERROR(INDEX(SAN_PHAM!$D$5:$D$26,MATCH($G310,SAN_PHAM!$A$5:$A$26,0)),"Sai mã SP"))</f>
        <v/>
      </c>
      <c r="I310" s="8">
        <f>IF(OR($G310="",$A310=""),"",IFERROR(INDEX(SAN_PHAM!$L$5:$L$26,MATCH($G310,SAN_PHAM!$A$5:$A$26,0))&amp;"?sub_id=ChiGiang-"&amp;SUBSTITUTE($A310,"-","")&amp;"-FBReels-SP"&amp;TEXT($G310,"00"),""))</f>
        <v/>
      </c>
      <c r="J310" s="8">
        <f>IF($G310="","",IFERROR(INDEX(SAN_PHAM!$N$5:$N$26,MATCH($G310,SAN_PHAM!$A$5:$A$26,0)),""))</f>
        <v/>
      </c>
      <c r="K310" s="7" t="n"/>
      <c r="L310" s="7" t="n"/>
      <c r="M310" s="26" t="n"/>
      <c r="N310" s="42" t="n"/>
      <c r="O310" s="26" t="n"/>
      <c r="P310" s="7" t="n"/>
      <c r="Q310" s="43" t="n"/>
      <c r="R310" s="43" t="n"/>
      <c r="S310" s="43" t="n"/>
      <c r="T310" s="7" t="n"/>
    </row>
    <row r="311">
      <c r="A311" s="26" t="n"/>
      <c r="B311" s="26" t="n"/>
      <c r="C311" s="7" t="n"/>
      <c r="D311" s="7" t="n"/>
      <c r="E311" s="7" t="n"/>
      <c r="F311" s="7" t="n"/>
      <c r="G311" s="26" t="n"/>
      <c r="H311" s="8">
        <f>IF($G311="","",IFERROR(INDEX(SAN_PHAM!$D$5:$D$26,MATCH($G311,SAN_PHAM!$A$5:$A$26,0)),"Sai mã SP"))</f>
        <v/>
      </c>
      <c r="I311" s="8">
        <f>IF(OR($G311="",$A311=""),"",IFERROR(INDEX(SAN_PHAM!$L$5:$L$26,MATCH($G311,SAN_PHAM!$A$5:$A$26,0))&amp;"?sub_id=ChiGiang-"&amp;SUBSTITUTE($A311,"-","")&amp;"-FBReels-SP"&amp;TEXT($G311,"00"),""))</f>
        <v/>
      </c>
      <c r="J311" s="8">
        <f>IF($G311="","",IFERROR(INDEX(SAN_PHAM!$N$5:$N$26,MATCH($G311,SAN_PHAM!$A$5:$A$26,0)),""))</f>
        <v/>
      </c>
      <c r="K311" s="7" t="n"/>
      <c r="L311" s="7" t="n"/>
      <c r="M311" s="26" t="n"/>
      <c r="N311" s="42" t="n"/>
      <c r="O311" s="26" t="n"/>
      <c r="P311" s="7" t="n"/>
      <c r="Q311" s="43" t="n"/>
      <c r="R311" s="43" t="n"/>
      <c r="S311" s="43" t="n"/>
      <c r="T311" s="7" t="n"/>
    </row>
    <row r="312">
      <c r="A312" s="26" t="n"/>
      <c r="B312" s="26" t="n"/>
      <c r="C312" s="7" t="n"/>
      <c r="D312" s="7" t="n"/>
      <c r="E312" s="7" t="n"/>
      <c r="F312" s="7" t="n"/>
      <c r="G312" s="26" t="n"/>
      <c r="H312" s="8">
        <f>IF($G312="","",IFERROR(INDEX(SAN_PHAM!$D$5:$D$26,MATCH($G312,SAN_PHAM!$A$5:$A$26,0)),"Sai mã SP"))</f>
        <v/>
      </c>
      <c r="I312" s="8">
        <f>IF(OR($G312="",$A312=""),"",IFERROR(INDEX(SAN_PHAM!$L$5:$L$26,MATCH($G312,SAN_PHAM!$A$5:$A$26,0))&amp;"?sub_id=ChiGiang-"&amp;SUBSTITUTE($A312,"-","")&amp;"-FBReels-SP"&amp;TEXT($G312,"00"),""))</f>
        <v/>
      </c>
      <c r="J312" s="8">
        <f>IF($G312="","",IFERROR(INDEX(SAN_PHAM!$N$5:$N$26,MATCH($G312,SAN_PHAM!$A$5:$A$26,0)),""))</f>
        <v/>
      </c>
      <c r="K312" s="7" t="n"/>
      <c r="L312" s="7" t="n"/>
      <c r="M312" s="26" t="n"/>
      <c r="N312" s="42" t="n"/>
      <c r="O312" s="26" t="n"/>
      <c r="P312" s="7" t="n"/>
      <c r="Q312" s="43" t="n"/>
      <c r="R312" s="43" t="n"/>
      <c r="S312" s="43" t="n"/>
      <c r="T312" s="7" t="n"/>
    </row>
    <row r="313">
      <c r="A313" s="26" t="n"/>
      <c r="B313" s="26" t="n"/>
      <c r="C313" s="7" t="n"/>
      <c r="D313" s="7" t="n"/>
      <c r="E313" s="7" t="n"/>
      <c r="F313" s="7" t="n"/>
      <c r="G313" s="26" t="n"/>
      <c r="H313" s="8">
        <f>IF($G313="","",IFERROR(INDEX(SAN_PHAM!$D$5:$D$26,MATCH($G313,SAN_PHAM!$A$5:$A$26,0)),"Sai mã SP"))</f>
        <v/>
      </c>
      <c r="I313" s="8">
        <f>IF(OR($G313="",$A313=""),"",IFERROR(INDEX(SAN_PHAM!$L$5:$L$26,MATCH($G313,SAN_PHAM!$A$5:$A$26,0))&amp;"?sub_id=ChiGiang-"&amp;SUBSTITUTE($A313,"-","")&amp;"-FBReels-SP"&amp;TEXT($G313,"00"),""))</f>
        <v/>
      </c>
      <c r="J313" s="8">
        <f>IF($G313="","",IFERROR(INDEX(SAN_PHAM!$N$5:$N$26,MATCH($G313,SAN_PHAM!$A$5:$A$26,0)),""))</f>
        <v/>
      </c>
      <c r="K313" s="7" t="n"/>
      <c r="L313" s="7" t="n"/>
      <c r="M313" s="26" t="n"/>
      <c r="N313" s="42" t="n"/>
      <c r="O313" s="26" t="n"/>
      <c r="P313" s="7" t="n"/>
      <c r="Q313" s="43" t="n"/>
      <c r="R313" s="43" t="n"/>
      <c r="S313" s="43" t="n"/>
      <c r="T313" s="7" t="n"/>
    </row>
    <row r="314">
      <c r="A314" s="26" t="n"/>
      <c r="B314" s="26" t="n"/>
      <c r="C314" s="7" t="n"/>
      <c r="D314" s="7" t="n"/>
      <c r="E314" s="7" t="n"/>
      <c r="F314" s="7" t="n"/>
      <c r="G314" s="26" t="n"/>
      <c r="H314" s="8">
        <f>IF($G314="","",IFERROR(INDEX(SAN_PHAM!$D$5:$D$26,MATCH($G314,SAN_PHAM!$A$5:$A$26,0)),"Sai mã SP"))</f>
        <v/>
      </c>
      <c r="I314" s="8">
        <f>IF(OR($G314="",$A314=""),"",IFERROR(INDEX(SAN_PHAM!$L$5:$L$26,MATCH($G314,SAN_PHAM!$A$5:$A$26,0))&amp;"?sub_id=ChiGiang-"&amp;SUBSTITUTE($A314,"-","")&amp;"-FBReels-SP"&amp;TEXT($G314,"00"),""))</f>
        <v/>
      </c>
      <c r="J314" s="8">
        <f>IF($G314="","",IFERROR(INDEX(SAN_PHAM!$N$5:$N$26,MATCH($G314,SAN_PHAM!$A$5:$A$26,0)),""))</f>
        <v/>
      </c>
      <c r="K314" s="7" t="n"/>
      <c r="L314" s="7" t="n"/>
      <c r="M314" s="26" t="n"/>
      <c r="N314" s="42" t="n"/>
      <c r="O314" s="26" t="n"/>
      <c r="P314" s="7" t="n"/>
      <c r="Q314" s="43" t="n"/>
      <c r="R314" s="43" t="n"/>
      <c r="S314" s="43" t="n"/>
      <c r="T314" s="7" t="n"/>
    </row>
    <row r="315">
      <c r="A315" s="26" t="n"/>
      <c r="B315" s="26" t="n"/>
      <c r="C315" s="7" t="n"/>
      <c r="D315" s="7" t="n"/>
      <c r="E315" s="7" t="n"/>
      <c r="F315" s="7" t="n"/>
      <c r="G315" s="26" t="n"/>
      <c r="H315" s="8">
        <f>IF($G315="","",IFERROR(INDEX(SAN_PHAM!$D$5:$D$26,MATCH($G315,SAN_PHAM!$A$5:$A$26,0)),"Sai mã SP"))</f>
        <v/>
      </c>
      <c r="I315" s="8">
        <f>IF(OR($G315="",$A315=""),"",IFERROR(INDEX(SAN_PHAM!$L$5:$L$26,MATCH($G315,SAN_PHAM!$A$5:$A$26,0))&amp;"?sub_id=ChiGiang-"&amp;SUBSTITUTE($A315,"-","")&amp;"-FBReels-SP"&amp;TEXT($G315,"00"),""))</f>
        <v/>
      </c>
      <c r="J315" s="8">
        <f>IF($G315="","",IFERROR(INDEX(SAN_PHAM!$N$5:$N$26,MATCH($G315,SAN_PHAM!$A$5:$A$26,0)),""))</f>
        <v/>
      </c>
      <c r="K315" s="7" t="n"/>
      <c r="L315" s="7" t="n"/>
      <c r="M315" s="26" t="n"/>
      <c r="N315" s="42" t="n"/>
      <c r="O315" s="26" t="n"/>
      <c r="P315" s="7" t="n"/>
      <c r="Q315" s="43" t="n"/>
      <c r="R315" s="43" t="n"/>
      <c r="S315" s="43" t="n"/>
      <c r="T315" s="7" t="n"/>
    </row>
    <row r="316">
      <c r="A316" s="26" t="n"/>
      <c r="B316" s="26" t="n"/>
      <c r="C316" s="7" t="n"/>
      <c r="D316" s="7" t="n"/>
      <c r="E316" s="7" t="n"/>
      <c r="F316" s="7" t="n"/>
      <c r="G316" s="26" t="n"/>
      <c r="H316" s="8">
        <f>IF($G316="","",IFERROR(INDEX(SAN_PHAM!$D$5:$D$26,MATCH($G316,SAN_PHAM!$A$5:$A$26,0)),"Sai mã SP"))</f>
        <v/>
      </c>
      <c r="I316" s="8">
        <f>IF(OR($G316="",$A316=""),"",IFERROR(INDEX(SAN_PHAM!$L$5:$L$26,MATCH($G316,SAN_PHAM!$A$5:$A$26,0))&amp;"?sub_id=ChiGiang-"&amp;SUBSTITUTE($A316,"-","")&amp;"-FBReels-SP"&amp;TEXT($G316,"00"),""))</f>
        <v/>
      </c>
      <c r="J316" s="8">
        <f>IF($G316="","",IFERROR(INDEX(SAN_PHAM!$N$5:$N$26,MATCH($G316,SAN_PHAM!$A$5:$A$26,0)),""))</f>
        <v/>
      </c>
      <c r="K316" s="7" t="n"/>
      <c r="L316" s="7" t="n"/>
      <c r="M316" s="26" t="n"/>
      <c r="N316" s="42" t="n"/>
      <c r="O316" s="26" t="n"/>
      <c r="P316" s="7" t="n"/>
      <c r="Q316" s="43" t="n"/>
      <c r="R316" s="43" t="n"/>
      <c r="S316" s="43" t="n"/>
      <c r="T316" s="7" t="n"/>
    </row>
    <row r="317">
      <c r="A317" s="26" t="n"/>
      <c r="B317" s="26" t="n"/>
      <c r="C317" s="7" t="n"/>
      <c r="D317" s="7" t="n"/>
      <c r="E317" s="7" t="n"/>
      <c r="F317" s="7" t="n"/>
      <c r="G317" s="26" t="n"/>
      <c r="H317" s="8">
        <f>IF($G317="","",IFERROR(INDEX(SAN_PHAM!$D$5:$D$26,MATCH($G317,SAN_PHAM!$A$5:$A$26,0)),"Sai mã SP"))</f>
        <v/>
      </c>
      <c r="I317" s="8">
        <f>IF(OR($G317="",$A317=""),"",IFERROR(INDEX(SAN_PHAM!$L$5:$L$26,MATCH($G317,SAN_PHAM!$A$5:$A$26,0))&amp;"?sub_id=ChiGiang-"&amp;SUBSTITUTE($A317,"-","")&amp;"-FBReels-SP"&amp;TEXT($G317,"00"),""))</f>
        <v/>
      </c>
      <c r="J317" s="8">
        <f>IF($G317="","",IFERROR(INDEX(SAN_PHAM!$N$5:$N$26,MATCH($G317,SAN_PHAM!$A$5:$A$26,0)),""))</f>
        <v/>
      </c>
      <c r="K317" s="7" t="n"/>
      <c r="L317" s="7" t="n"/>
      <c r="M317" s="26" t="n"/>
      <c r="N317" s="42" t="n"/>
      <c r="O317" s="26" t="n"/>
      <c r="P317" s="7" t="n"/>
      <c r="Q317" s="43" t="n"/>
      <c r="R317" s="43" t="n"/>
      <c r="S317" s="43" t="n"/>
      <c r="T317" s="7" t="n"/>
    </row>
    <row r="318">
      <c r="A318" s="26" t="n"/>
      <c r="B318" s="26" t="n"/>
      <c r="C318" s="7" t="n"/>
      <c r="D318" s="7" t="n"/>
      <c r="E318" s="7" t="n"/>
      <c r="F318" s="7" t="n"/>
      <c r="G318" s="26" t="n"/>
      <c r="H318" s="8">
        <f>IF($G318="","",IFERROR(INDEX(SAN_PHAM!$D$5:$D$26,MATCH($G318,SAN_PHAM!$A$5:$A$26,0)),"Sai mã SP"))</f>
        <v/>
      </c>
      <c r="I318" s="8">
        <f>IF(OR($G318="",$A318=""),"",IFERROR(INDEX(SAN_PHAM!$L$5:$L$26,MATCH($G318,SAN_PHAM!$A$5:$A$26,0))&amp;"?sub_id=ChiGiang-"&amp;SUBSTITUTE($A318,"-","")&amp;"-FBReels-SP"&amp;TEXT($G318,"00"),""))</f>
        <v/>
      </c>
      <c r="J318" s="8">
        <f>IF($G318="","",IFERROR(INDEX(SAN_PHAM!$N$5:$N$26,MATCH($G318,SAN_PHAM!$A$5:$A$26,0)),""))</f>
        <v/>
      </c>
      <c r="K318" s="7" t="n"/>
      <c r="L318" s="7" t="n"/>
      <c r="M318" s="26" t="n"/>
      <c r="N318" s="42" t="n"/>
      <c r="O318" s="26" t="n"/>
      <c r="P318" s="7" t="n"/>
      <c r="Q318" s="43" t="n"/>
      <c r="R318" s="43" t="n"/>
      <c r="S318" s="43" t="n"/>
      <c r="T318" s="7" t="n"/>
    </row>
    <row r="319">
      <c r="A319" s="26" t="n"/>
      <c r="B319" s="26" t="n"/>
      <c r="C319" s="7" t="n"/>
      <c r="D319" s="7" t="n"/>
      <c r="E319" s="7" t="n"/>
      <c r="F319" s="7" t="n"/>
      <c r="G319" s="26" t="n"/>
      <c r="H319" s="8">
        <f>IF($G319="","",IFERROR(INDEX(SAN_PHAM!$D$5:$D$26,MATCH($G319,SAN_PHAM!$A$5:$A$26,0)),"Sai mã SP"))</f>
        <v/>
      </c>
      <c r="I319" s="8">
        <f>IF(OR($G319="",$A319=""),"",IFERROR(INDEX(SAN_PHAM!$L$5:$L$26,MATCH($G319,SAN_PHAM!$A$5:$A$26,0))&amp;"?sub_id=ChiGiang-"&amp;SUBSTITUTE($A319,"-","")&amp;"-FBReels-SP"&amp;TEXT($G319,"00"),""))</f>
        <v/>
      </c>
      <c r="J319" s="8">
        <f>IF($G319="","",IFERROR(INDEX(SAN_PHAM!$N$5:$N$26,MATCH($G319,SAN_PHAM!$A$5:$A$26,0)),""))</f>
        <v/>
      </c>
      <c r="K319" s="7" t="n"/>
      <c r="L319" s="7" t="n"/>
      <c r="M319" s="26" t="n"/>
      <c r="N319" s="42" t="n"/>
      <c r="O319" s="26" t="n"/>
      <c r="P319" s="7" t="n"/>
      <c r="Q319" s="43" t="n"/>
      <c r="R319" s="43" t="n"/>
      <c r="S319" s="43" t="n"/>
      <c r="T319" s="7" t="n"/>
    </row>
    <row r="320">
      <c r="A320" s="26" t="n"/>
      <c r="B320" s="26" t="n"/>
      <c r="C320" s="7" t="n"/>
      <c r="D320" s="7" t="n"/>
      <c r="E320" s="7" t="n"/>
      <c r="F320" s="7" t="n"/>
      <c r="G320" s="26" t="n"/>
      <c r="H320" s="8">
        <f>IF($G320="","",IFERROR(INDEX(SAN_PHAM!$D$5:$D$26,MATCH($G320,SAN_PHAM!$A$5:$A$26,0)),"Sai mã SP"))</f>
        <v/>
      </c>
      <c r="I320" s="8">
        <f>IF(OR($G320="",$A320=""),"",IFERROR(INDEX(SAN_PHAM!$L$5:$L$26,MATCH($G320,SAN_PHAM!$A$5:$A$26,0))&amp;"?sub_id=ChiGiang-"&amp;SUBSTITUTE($A320,"-","")&amp;"-FBReels-SP"&amp;TEXT($G320,"00"),""))</f>
        <v/>
      </c>
      <c r="J320" s="8">
        <f>IF($G320="","",IFERROR(INDEX(SAN_PHAM!$N$5:$N$26,MATCH($G320,SAN_PHAM!$A$5:$A$26,0)),""))</f>
        <v/>
      </c>
      <c r="K320" s="7" t="n"/>
      <c r="L320" s="7" t="n"/>
      <c r="M320" s="26" t="n"/>
      <c r="N320" s="42" t="n"/>
      <c r="O320" s="26" t="n"/>
      <c r="P320" s="7" t="n"/>
      <c r="Q320" s="43" t="n"/>
      <c r="R320" s="43" t="n"/>
      <c r="S320" s="43" t="n"/>
      <c r="T320" s="7" t="n"/>
    </row>
    <row r="321">
      <c r="A321" s="26" t="n"/>
      <c r="B321" s="26" t="n"/>
      <c r="C321" s="7" t="n"/>
      <c r="D321" s="7" t="n"/>
      <c r="E321" s="7" t="n"/>
      <c r="F321" s="7" t="n"/>
      <c r="G321" s="26" t="n"/>
      <c r="H321" s="8">
        <f>IF($G321="","",IFERROR(INDEX(SAN_PHAM!$D$5:$D$26,MATCH($G321,SAN_PHAM!$A$5:$A$26,0)),"Sai mã SP"))</f>
        <v/>
      </c>
      <c r="I321" s="8">
        <f>IF(OR($G321="",$A321=""),"",IFERROR(INDEX(SAN_PHAM!$L$5:$L$26,MATCH($G321,SAN_PHAM!$A$5:$A$26,0))&amp;"?sub_id=ChiGiang-"&amp;SUBSTITUTE($A321,"-","")&amp;"-FBReels-SP"&amp;TEXT($G321,"00"),""))</f>
        <v/>
      </c>
      <c r="J321" s="8">
        <f>IF($G321="","",IFERROR(INDEX(SAN_PHAM!$N$5:$N$26,MATCH($G321,SAN_PHAM!$A$5:$A$26,0)),""))</f>
        <v/>
      </c>
      <c r="K321" s="7" t="n"/>
      <c r="L321" s="7" t="n"/>
      <c r="M321" s="26" t="n"/>
      <c r="N321" s="42" t="n"/>
      <c r="O321" s="26" t="n"/>
      <c r="P321" s="7" t="n"/>
      <c r="Q321" s="43" t="n"/>
      <c r="R321" s="43" t="n"/>
      <c r="S321" s="43" t="n"/>
      <c r="T321" s="7" t="n"/>
    </row>
    <row r="322">
      <c r="A322" s="26" t="n"/>
      <c r="B322" s="26" t="n"/>
      <c r="C322" s="7" t="n"/>
      <c r="D322" s="7" t="n"/>
      <c r="E322" s="7" t="n"/>
      <c r="F322" s="7" t="n"/>
      <c r="G322" s="26" t="n"/>
      <c r="H322" s="8">
        <f>IF($G322="","",IFERROR(INDEX(SAN_PHAM!$D$5:$D$26,MATCH($G322,SAN_PHAM!$A$5:$A$26,0)),"Sai mã SP"))</f>
        <v/>
      </c>
      <c r="I322" s="8">
        <f>IF(OR($G322="",$A322=""),"",IFERROR(INDEX(SAN_PHAM!$L$5:$L$26,MATCH($G322,SAN_PHAM!$A$5:$A$26,0))&amp;"?sub_id=ChiGiang-"&amp;SUBSTITUTE($A322,"-","")&amp;"-FBReels-SP"&amp;TEXT($G322,"00"),""))</f>
        <v/>
      </c>
      <c r="J322" s="8">
        <f>IF($G322="","",IFERROR(INDEX(SAN_PHAM!$N$5:$N$26,MATCH($G322,SAN_PHAM!$A$5:$A$26,0)),""))</f>
        <v/>
      </c>
      <c r="K322" s="7" t="n"/>
      <c r="L322" s="7" t="n"/>
      <c r="M322" s="26" t="n"/>
      <c r="N322" s="42" t="n"/>
      <c r="O322" s="26" t="n"/>
      <c r="P322" s="7" t="n"/>
      <c r="Q322" s="43" t="n"/>
      <c r="R322" s="43" t="n"/>
      <c r="S322" s="43" t="n"/>
      <c r="T322" s="7" t="n"/>
    </row>
    <row r="323">
      <c r="A323" s="26" t="n"/>
      <c r="B323" s="26" t="n"/>
      <c r="C323" s="7" t="n"/>
      <c r="D323" s="7" t="n"/>
      <c r="E323" s="7" t="n"/>
      <c r="F323" s="7" t="n"/>
      <c r="G323" s="26" t="n"/>
      <c r="H323" s="8">
        <f>IF($G323="","",IFERROR(INDEX(SAN_PHAM!$D$5:$D$26,MATCH($G323,SAN_PHAM!$A$5:$A$26,0)),"Sai mã SP"))</f>
        <v/>
      </c>
      <c r="I323" s="8">
        <f>IF(OR($G323="",$A323=""),"",IFERROR(INDEX(SAN_PHAM!$L$5:$L$26,MATCH($G323,SAN_PHAM!$A$5:$A$26,0))&amp;"?sub_id=ChiGiang-"&amp;SUBSTITUTE($A323,"-","")&amp;"-FBReels-SP"&amp;TEXT($G323,"00"),""))</f>
        <v/>
      </c>
      <c r="J323" s="8">
        <f>IF($G323="","",IFERROR(INDEX(SAN_PHAM!$N$5:$N$26,MATCH($G323,SAN_PHAM!$A$5:$A$26,0)),""))</f>
        <v/>
      </c>
      <c r="K323" s="7" t="n"/>
      <c r="L323" s="7" t="n"/>
      <c r="M323" s="26" t="n"/>
      <c r="N323" s="42" t="n"/>
      <c r="O323" s="26" t="n"/>
      <c r="P323" s="7" t="n"/>
      <c r="Q323" s="43" t="n"/>
      <c r="R323" s="43" t="n"/>
      <c r="S323" s="43" t="n"/>
      <c r="T323" s="7" t="n"/>
    </row>
    <row r="324">
      <c r="A324" s="26" t="n"/>
      <c r="B324" s="26" t="n"/>
      <c r="C324" s="7" t="n"/>
      <c r="D324" s="7" t="n"/>
      <c r="E324" s="7" t="n"/>
      <c r="F324" s="7" t="n"/>
      <c r="G324" s="26" t="n"/>
      <c r="H324" s="8">
        <f>IF($G324="","",IFERROR(INDEX(SAN_PHAM!$D$5:$D$26,MATCH($G324,SAN_PHAM!$A$5:$A$26,0)),"Sai mã SP"))</f>
        <v/>
      </c>
      <c r="I324" s="8">
        <f>IF(OR($G324="",$A324=""),"",IFERROR(INDEX(SAN_PHAM!$L$5:$L$26,MATCH($G324,SAN_PHAM!$A$5:$A$26,0))&amp;"?sub_id=ChiGiang-"&amp;SUBSTITUTE($A324,"-","")&amp;"-FBReels-SP"&amp;TEXT($G324,"00"),""))</f>
        <v/>
      </c>
      <c r="J324" s="8">
        <f>IF($G324="","",IFERROR(INDEX(SAN_PHAM!$N$5:$N$26,MATCH($G324,SAN_PHAM!$A$5:$A$26,0)),""))</f>
        <v/>
      </c>
      <c r="K324" s="7" t="n"/>
      <c r="L324" s="7" t="n"/>
      <c r="M324" s="26" t="n"/>
      <c r="N324" s="42" t="n"/>
      <c r="O324" s="26" t="n"/>
      <c r="P324" s="7" t="n"/>
      <c r="Q324" s="43" t="n"/>
      <c r="R324" s="43" t="n"/>
      <c r="S324" s="43" t="n"/>
      <c r="T324" s="7" t="n"/>
    </row>
    <row r="325">
      <c r="A325" s="26" t="n"/>
      <c r="B325" s="26" t="n"/>
      <c r="C325" s="7" t="n"/>
      <c r="D325" s="7" t="n"/>
      <c r="E325" s="7" t="n"/>
      <c r="F325" s="7" t="n"/>
      <c r="G325" s="26" t="n"/>
      <c r="H325" s="8">
        <f>IF($G325="","",IFERROR(INDEX(SAN_PHAM!$D$5:$D$26,MATCH($G325,SAN_PHAM!$A$5:$A$26,0)),"Sai mã SP"))</f>
        <v/>
      </c>
      <c r="I325" s="8">
        <f>IF(OR($G325="",$A325=""),"",IFERROR(INDEX(SAN_PHAM!$L$5:$L$26,MATCH($G325,SAN_PHAM!$A$5:$A$26,0))&amp;"?sub_id=ChiGiang-"&amp;SUBSTITUTE($A325,"-","")&amp;"-FBReels-SP"&amp;TEXT($G325,"00"),""))</f>
        <v/>
      </c>
      <c r="J325" s="8">
        <f>IF($G325="","",IFERROR(INDEX(SAN_PHAM!$N$5:$N$26,MATCH($G325,SAN_PHAM!$A$5:$A$26,0)),""))</f>
        <v/>
      </c>
      <c r="K325" s="7" t="n"/>
      <c r="L325" s="7" t="n"/>
      <c r="M325" s="26" t="n"/>
      <c r="N325" s="42" t="n"/>
      <c r="O325" s="26" t="n"/>
      <c r="P325" s="7" t="n"/>
      <c r="Q325" s="43" t="n"/>
      <c r="R325" s="43" t="n"/>
      <c r="S325" s="43" t="n"/>
      <c r="T325" s="7" t="n"/>
    </row>
    <row r="326">
      <c r="A326" s="26" t="n"/>
      <c r="B326" s="26" t="n"/>
      <c r="C326" s="7" t="n"/>
      <c r="D326" s="7" t="n"/>
      <c r="E326" s="7" t="n"/>
      <c r="F326" s="7" t="n"/>
      <c r="G326" s="26" t="n"/>
      <c r="H326" s="8">
        <f>IF($G326="","",IFERROR(INDEX(SAN_PHAM!$D$5:$D$26,MATCH($G326,SAN_PHAM!$A$5:$A$26,0)),"Sai mã SP"))</f>
        <v/>
      </c>
      <c r="I326" s="8">
        <f>IF(OR($G326="",$A326=""),"",IFERROR(INDEX(SAN_PHAM!$L$5:$L$26,MATCH($G326,SAN_PHAM!$A$5:$A$26,0))&amp;"?sub_id=ChiGiang-"&amp;SUBSTITUTE($A326,"-","")&amp;"-FBReels-SP"&amp;TEXT($G326,"00"),""))</f>
        <v/>
      </c>
      <c r="J326" s="8">
        <f>IF($G326="","",IFERROR(INDEX(SAN_PHAM!$N$5:$N$26,MATCH($G326,SAN_PHAM!$A$5:$A$26,0)),""))</f>
        <v/>
      </c>
      <c r="K326" s="7" t="n"/>
      <c r="L326" s="7" t="n"/>
      <c r="M326" s="26" t="n"/>
      <c r="N326" s="42" t="n"/>
      <c r="O326" s="26" t="n"/>
      <c r="P326" s="7" t="n"/>
      <c r="Q326" s="43" t="n"/>
      <c r="R326" s="43" t="n"/>
      <c r="S326" s="43" t="n"/>
      <c r="T326" s="7" t="n"/>
    </row>
    <row r="327">
      <c r="A327" s="26" t="n"/>
      <c r="B327" s="26" t="n"/>
      <c r="C327" s="7" t="n"/>
      <c r="D327" s="7" t="n"/>
      <c r="E327" s="7" t="n"/>
      <c r="F327" s="7" t="n"/>
      <c r="G327" s="26" t="n"/>
      <c r="H327" s="8">
        <f>IF($G327="","",IFERROR(INDEX(SAN_PHAM!$D$5:$D$26,MATCH($G327,SAN_PHAM!$A$5:$A$26,0)),"Sai mã SP"))</f>
        <v/>
      </c>
      <c r="I327" s="8">
        <f>IF(OR($G327="",$A327=""),"",IFERROR(INDEX(SAN_PHAM!$L$5:$L$26,MATCH($G327,SAN_PHAM!$A$5:$A$26,0))&amp;"?sub_id=ChiGiang-"&amp;SUBSTITUTE($A327,"-","")&amp;"-FBReels-SP"&amp;TEXT($G327,"00"),""))</f>
        <v/>
      </c>
      <c r="J327" s="8">
        <f>IF($G327="","",IFERROR(INDEX(SAN_PHAM!$N$5:$N$26,MATCH($G327,SAN_PHAM!$A$5:$A$26,0)),""))</f>
        <v/>
      </c>
      <c r="K327" s="7" t="n"/>
      <c r="L327" s="7" t="n"/>
      <c r="M327" s="26" t="n"/>
      <c r="N327" s="42" t="n"/>
      <c r="O327" s="26" t="n"/>
      <c r="P327" s="7" t="n"/>
      <c r="Q327" s="43" t="n"/>
      <c r="R327" s="43" t="n"/>
      <c r="S327" s="43" t="n"/>
      <c r="T327" s="7" t="n"/>
    </row>
    <row r="328">
      <c r="A328" s="26" t="n"/>
      <c r="B328" s="26" t="n"/>
      <c r="C328" s="7" t="n"/>
      <c r="D328" s="7" t="n"/>
      <c r="E328" s="7" t="n"/>
      <c r="F328" s="7" t="n"/>
      <c r="G328" s="26" t="n"/>
      <c r="H328" s="8">
        <f>IF($G328="","",IFERROR(INDEX(SAN_PHAM!$D$5:$D$26,MATCH($G328,SAN_PHAM!$A$5:$A$26,0)),"Sai mã SP"))</f>
        <v/>
      </c>
      <c r="I328" s="8">
        <f>IF(OR($G328="",$A328=""),"",IFERROR(INDEX(SAN_PHAM!$L$5:$L$26,MATCH($G328,SAN_PHAM!$A$5:$A$26,0))&amp;"?sub_id=ChiGiang-"&amp;SUBSTITUTE($A328,"-","")&amp;"-FBReels-SP"&amp;TEXT($G328,"00"),""))</f>
        <v/>
      </c>
      <c r="J328" s="8">
        <f>IF($G328="","",IFERROR(INDEX(SAN_PHAM!$N$5:$N$26,MATCH($G328,SAN_PHAM!$A$5:$A$26,0)),""))</f>
        <v/>
      </c>
      <c r="K328" s="7" t="n"/>
      <c r="L328" s="7" t="n"/>
      <c r="M328" s="26" t="n"/>
      <c r="N328" s="42" t="n"/>
      <c r="O328" s="26" t="n"/>
      <c r="P328" s="7" t="n"/>
      <c r="Q328" s="43" t="n"/>
      <c r="R328" s="43" t="n"/>
      <c r="S328" s="43" t="n"/>
      <c r="T328" s="7" t="n"/>
    </row>
    <row r="329">
      <c r="A329" s="26" t="n"/>
      <c r="B329" s="26" t="n"/>
      <c r="C329" s="7" t="n"/>
      <c r="D329" s="7" t="n"/>
      <c r="E329" s="7" t="n"/>
      <c r="F329" s="7" t="n"/>
      <c r="G329" s="26" t="n"/>
      <c r="H329" s="8">
        <f>IF($G329="","",IFERROR(INDEX(SAN_PHAM!$D$5:$D$26,MATCH($G329,SAN_PHAM!$A$5:$A$26,0)),"Sai mã SP"))</f>
        <v/>
      </c>
      <c r="I329" s="8">
        <f>IF(OR($G329="",$A329=""),"",IFERROR(INDEX(SAN_PHAM!$L$5:$L$26,MATCH($G329,SAN_PHAM!$A$5:$A$26,0))&amp;"?sub_id=ChiGiang-"&amp;SUBSTITUTE($A329,"-","")&amp;"-FBReels-SP"&amp;TEXT($G329,"00"),""))</f>
        <v/>
      </c>
      <c r="J329" s="8">
        <f>IF($G329="","",IFERROR(INDEX(SAN_PHAM!$N$5:$N$26,MATCH($G329,SAN_PHAM!$A$5:$A$26,0)),""))</f>
        <v/>
      </c>
      <c r="K329" s="7" t="n"/>
      <c r="L329" s="7" t="n"/>
      <c r="M329" s="26" t="n"/>
      <c r="N329" s="42" t="n"/>
      <c r="O329" s="26" t="n"/>
      <c r="P329" s="7" t="n"/>
      <c r="Q329" s="43" t="n"/>
      <c r="R329" s="43" t="n"/>
      <c r="S329" s="43" t="n"/>
      <c r="T329" s="7" t="n"/>
    </row>
    <row r="330">
      <c r="A330" s="26" t="n"/>
      <c r="B330" s="26" t="n"/>
      <c r="C330" s="7" t="n"/>
      <c r="D330" s="7" t="n"/>
      <c r="E330" s="7" t="n"/>
      <c r="F330" s="7" t="n"/>
      <c r="G330" s="26" t="n"/>
      <c r="H330" s="8">
        <f>IF($G330="","",IFERROR(INDEX(SAN_PHAM!$D$5:$D$26,MATCH($G330,SAN_PHAM!$A$5:$A$26,0)),"Sai mã SP"))</f>
        <v/>
      </c>
      <c r="I330" s="8">
        <f>IF(OR($G330="",$A330=""),"",IFERROR(INDEX(SAN_PHAM!$L$5:$L$26,MATCH($G330,SAN_PHAM!$A$5:$A$26,0))&amp;"?sub_id=ChiGiang-"&amp;SUBSTITUTE($A330,"-","")&amp;"-FBReels-SP"&amp;TEXT($G330,"00"),""))</f>
        <v/>
      </c>
      <c r="J330" s="8">
        <f>IF($G330="","",IFERROR(INDEX(SAN_PHAM!$N$5:$N$26,MATCH($G330,SAN_PHAM!$A$5:$A$26,0)),""))</f>
        <v/>
      </c>
      <c r="K330" s="7" t="n"/>
      <c r="L330" s="7" t="n"/>
      <c r="M330" s="26" t="n"/>
      <c r="N330" s="42" t="n"/>
      <c r="O330" s="26" t="n"/>
      <c r="P330" s="7" t="n"/>
      <c r="Q330" s="43" t="n"/>
      <c r="R330" s="43" t="n"/>
      <c r="S330" s="43" t="n"/>
      <c r="T330" s="7" t="n"/>
    </row>
    <row r="331">
      <c r="A331" s="26" t="n"/>
      <c r="B331" s="26" t="n"/>
      <c r="C331" s="7" t="n"/>
      <c r="D331" s="7" t="n"/>
      <c r="E331" s="7" t="n"/>
      <c r="F331" s="7" t="n"/>
      <c r="G331" s="26" t="n"/>
      <c r="H331" s="8">
        <f>IF($G331="","",IFERROR(INDEX(SAN_PHAM!$D$5:$D$26,MATCH($G331,SAN_PHAM!$A$5:$A$26,0)),"Sai mã SP"))</f>
        <v/>
      </c>
      <c r="I331" s="8">
        <f>IF(OR($G331="",$A331=""),"",IFERROR(INDEX(SAN_PHAM!$L$5:$L$26,MATCH($G331,SAN_PHAM!$A$5:$A$26,0))&amp;"?sub_id=ChiGiang-"&amp;SUBSTITUTE($A331,"-","")&amp;"-FBReels-SP"&amp;TEXT($G331,"00"),""))</f>
        <v/>
      </c>
      <c r="J331" s="8">
        <f>IF($G331="","",IFERROR(INDEX(SAN_PHAM!$N$5:$N$26,MATCH($G331,SAN_PHAM!$A$5:$A$26,0)),""))</f>
        <v/>
      </c>
      <c r="K331" s="7" t="n"/>
      <c r="L331" s="7" t="n"/>
      <c r="M331" s="26" t="n"/>
      <c r="N331" s="42" t="n"/>
      <c r="O331" s="26" t="n"/>
      <c r="P331" s="7" t="n"/>
      <c r="Q331" s="43" t="n"/>
      <c r="R331" s="43" t="n"/>
      <c r="S331" s="43" t="n"/>
      <c r="T331" s="7" t="n"/>
    </row>
    <row r="332">
      <c r="A332" s="26" t="n"/>
      <c r="B332" s="26" t="n"/>
      <c r="C332" s="7" t="n"/>
      <c r="D332" s="7" t="n"/>
      <c r="E332" s="7" t="n"/>
      <c r="F332" s="7" t="n"/>
      <c r="G332" s="26" t="n"/>
      <c r="H332" s="8">
        <f>IF($G332="","",IFERROR(INDEX(SAN_PHAM!$D$5:$D$26,MATCH($G332,SAN_PHAM!$A$5:$A$26,0)),"Sai mã SP"))</f>
        <v/>
      </c>
      <c r="I332" s="8">
        <f>IF(OR($G332="",$A332=""),"",IFERROR(INDEX(SAN_PHAM!$L$5:$L$26,MATCH($G332,SAN_PHAM!$A$5:$A$26,0))&amp;"?sub_id=ChiGiang-"&amp;SUBSTITUTE($A332,"-","")&amp;"-FBReels-SP"&amp;TEXT($G332,"00"),""))</f>
        <v/>
      </c>
      <c r="J332" s="8">
        <f>IF($G332="","",IFERROR(INDEX(SAN_PHAM!$N$5:$N$26,MATCH($G332,SAN_PHAM!$A$5:$A$26,0)),""))</f>
        <v/>
      </c>
      <c r="K332" s="7" t="n"/>
      <c r="L332" s="7" t="n"/>
      <c r="M332" s="26" t="n"/>
      <c r="N332" s="42" t="n"/>
      <c r="O332" s="26" t="n"/>
      <c r="P332" s="7" t="n"/>
      <c r="Q332" s="43" t="n"/>
      <c r="R332" s="43" t="n"/>
      <c r="S332" s="43" t="n"/>
      <c r="T332" s="7" t="n"/>
    </row>
    <row r="333">
      <c r="A333" s="26" t="n"/>
      <c r="B333" s="26" t="n"/>
      <c r="C333" s="7" t="n"/>
      <c r="D333" s="7" t="n"/>
      <c r="E333" s="7" t="n"/>
      <c r="F333" s="7" t="n"/>
      <c r="G333" s="26" t="n"/>
      <c r="H333" s="8">
        <f>IF($G333="","",IFERROR(INDEX(SAN_PHAM!$D$5:$D$26,MATCH($G333,SAN_PHAM!$A$5:$A$26,0)),"Sai mã SP"))</f>
        <v/>
      </c>
      <c r="I333" s="8">
        <f>IF(OR($G333="",$A333=""),"",IFERROR(INDEX(SAN_PHAM!$L$5:$L$26,MATCH($G333,SAN_PHAM!$A$5:$A$26,0))&amp;"?sub_id=ChiGiang-"&amp;SUBSTITUTE($A333,"-","")&amp;"-FBReels-SP"&amp;TEXT($G333,"00"),""))</f>
        <v/>
      </c>
      <c r="J333" s="8">
        <f>IF($G333="","",IFERROR(INDEX(SAN_PHAM!$N$5:$N$26,MATCH($G333,SAN_PHAM!$A$5:$A$26,0)),""))</f>
        <v/>
      </c>
      <c r="K333" s="7" t="n"/>
      <c r="L333" s="7" t="n"/>
      <c r="M333" s="26" t="n"/>
      <c r="N333" s="42" t="n"/>
      <c r="O333" s="26" t="n"/>
      <c r="P333" s="7" t="n"/>
      <c r="Q333" s="43" t="n"/>
      <c r="R333" s="43" t="n"/>
      <c r="S333" s="43" t="n"/>
      <c r="T333" s="7" t="n"/>
    </row>
    <row r="334">
      <c r="A334" s="26" t="n"/>
      <c r="B334" s="26" t="n"/>
      <c r="C334" s="7" t="n"/>
      <c r="D334" s="7" t="n"/>
      <c r="E334" s="7" t="n"/>
      <c r="F334" s="7" t="n"/>
      <c r="G334" s="26" t="n"/>
      <c r="H334" s="8">
        <f>IF($G334="","",IFERROR(INDEX(SAN_PHAM!$D$5:$D$26,MATCH($G334,SAN_PHAM!$A$5:$A$26,0)),"Sai mã SP"))</f>
        <v/>
      </c>
      <c r="I334" s="8">
        <f>IF(OR($G334="",$A334=""),"",IFERROR(INDEX(SAN_PHAM!$L$5:$L$26,MATCH($G334,SAN_PHAM!$A$5:$A$26,0))&amp;"?sub_id=ChiGiang-"&amp;SUBSTITUTE($A334,"-","")&amp;"-FBReels-SP"&amp;TEXT($G334,"00"),""))</f>
        <v/>
      </c>
      <c r="J334" s="8">
        <f>IF($G334="","",IFERROR(INDEX(SAN_PHAM!$N$5:$N$26,MATCH($G334,SAN_PHAM!$A$5:$A$26,0)),""))</f>
        <v/>
      </c>
      <c r="K334" s="7" t="n"/>
      <c r="L334" s="7" t="n"/>
      <c r="M334" s="26" t="n"/>
      <c r="N334" s="42" t="n"/>
      <c r="O334" s="26" t="n"/>
      <c r="P334" s="7" t="n"/>
      <c r="Q334" s="43" t="n"/>
      <c r="R334" s="43" t="n"/>
      <c r="S334" s="43" t="n"/>
      <c r="T334" s="7" t="n"/>
    </row>
    <row r="335">
      <c r="A335" s="26" t="n"/>
      <c r="B335" s="26" t="n"/>
      <c r="C335" s="7" t="n"/>
      <c r="D335" s="7" t="n"/>
      <c r="E335" s="7" t="n"/>
      <c r="F335" s="7" t="n"/>
      <c r="G335" s="26" t="n"/>
      <c r="H335" s="8">
        <f>IF($G335="","",IFERROR(INDEX(SAN_PHAM!$D$5:$D$26,MATCH($G335,SAN_PHAM!$A$5:$A$26,0)),"Sai mã SP"))</f>
        <v/>
      </c>
      <c r="I335" s="8">
        <f>IF(OR($G335="",$A335=""),"",IFERROR(INDEX(SAN_PHAM!$L$5:$L$26,MATCH($G335,SAN_PHAM!$A$5:$A$26,0))&amp;"?sub_id=ChiGiang-"&amp;SUBSTITUTE($A335,"-","")&amp;"-FBReels-SP"&amp;TEXT($G335,"00"),""))</f>
        <v/>
      </c>
      <c r="J335" s="8">
        <f>IF($G335="","",IFERROR(INDEX(SAN_PHAM!$N$5:$N$26,MATCH($G335,SAN_PHAM!$A$5:$A$26,0)),""))</f>
        <v/>
      </c>
      <c r="K335" s="7" t="n"/>
      <c r="L335" s="7" t="n"/>
      <c r="M335" s="26" t="n"/>
      <c r="N335" s="42" t="n"/>
      <c r="O335" s="26" t="n"/>
      <c r="P335" s="7" t="n"/>
      <c r="Q335" s="43" t="n"/>
      <c r="R335" s="43" t="n"/>
      <c r="S335" s="43" t="n"/>
      <c r="T335" s="7" t="n"/>
    </row>
    <row r="336">
      <c r="A336" s="26" t="n"/>
      <c r="B336" s="26" t="n"/>
      <c r="C336" s="7" t="n"/>
      <c r="D336" s="7" t="n"/>
      <c r="E336" s="7" t="n"/>
      <c r="F336" s="7" t="n"/>
      <c r="G336" s="26" t="n"/>
      <c r="H336" s="8">
        <f>IF($G336="","",IFERROR(INDEX(SAN_PHAM!$D$5:$D$26,MATCH($G336,SAN_PHAM!$A$5:$A$26,0)),"Sai mã SP"))</f>
        <v/>
      </c>
      <c r="I336" s="8">
        <f>IF(OR($G336="",$A336=""),"",IFERROR(INDEX(SAN_PHAM!$L$5:$L$26,MATCH($G336,SAN_PHAM!$A$5:$A$26,0))&amp;"?sub_id=ChiGiang-"&amp;SUBSTITUTE($A336,"-","")&amp;"-FBReels-SP"&amp;TEXT($G336,"00"),""))</f>
        <v/>
      </c>
      <c r="J336" s="8">
        <f>IF($G336="","",IFERROR(INDEX(SAN_PHAM!$N$5:$N$26,MATCH($G336,SAN_PHAM!$A$5:$A$26,0)),""))</f>
        <v/>
      </c>
      <c r="K336" s="7" t="n"/>
      <c r="L336" s="7" t="n"/>
      <c r="M336" s="26" t="n"/>
      <c r="N336" s="42" t="n"/>
      <c r="O336" s="26" t="n"/>
      <c r="P336" s="7" t="n"/>
      <c r="Q336" s="43" t="n"/>
      <c r="R336" s="43" t="n"/>
      <c r="S336" s="43" t="n"/>
      <c r="T336" s="7" t="n"/>
    </row>
    <row r="337">
      <c r="A337" s="26" t="n"/>
      <c r="B337" s="26" t="n"/>
      <c r="C337" s="7" t="n"/>
      <c r="D337" s="7" t="n"/>
      <c r="E337" s="7" t="n"/>
      <c r="F337" s="7" t="n"/>
      <c r="G337" s="26" t="n"/>
      <c r="H337" s="8">
        <f>IF($G337="","",IFERROR(INDEX(SAN_PHAM!$D$5:$D$26,MATCH($G337,SAN_PHAM!$A$5:$A$26,0)),"Sai mã SP"))</f>
        <v/>
      </c>
      <c r="I337" s="8">
        <f>IF(OR($G337="",$A337=""),"",IFERROR(INDEX(SAN_PHAM!$L$5:$L$26,MATCH($G337,SAN_PHAM!$A$5:$A$26,0))&amp;"?sub_id=ChiGiang-"&amp;SUBSTITUTE($A337,"-","")&amp;"-FBReels-SP"&amp;TEXT($G337,"00"),""))</f>
        <v/>
      </c>
      <c r="J337" s="8">
        <f>IF($G337="","",IFERROR(INDEX(SAN_PHAM!$N$5:$N$26,MATCH($G337,SAN_PHAM!$A$5:$A$26,0)),""))</f>
        <v/>
      </c>
      <c r="K337" s="7" t="n"/>
      <c r="L337" s="7" t="n"/>
      <c r="M337" s="26" t="n"/>
      <c r="N337" s="42" t="n"/>
      <c r="O337" s="26" t="n"/>
      <c r="P337" s="7" t="n"/>
      <c r="Q337" s="43" t="n"/>
      <c r="R337" s="43" t="n"/>
      <c r="S337" s="43" t="n"/>
      <c r="T337" s="7" t="n"/>
    </row>
    <row r="338">
      <c r="A338" s="26" t="n"/>
      <c r="B338" s="26" t="n"/>
      <c r="C338" s="7" t="n"/>
      <c r="D338" s="7" t="n"/>
      <c r="E338" s="7" t="n"/>
      <c r="F338" s="7" t="n"/>
      <c r="G338" s="26" t="n"/>
      <c r="H338" s="8">
        <f>IF($G338="","",IFERROR(INDEX(SAN_PHAM!$D$5:$D$26,MATCH($G338,SAN_PHAM!$A$5:$A$26,0)),"Sai mã SP"))</f>
        <v/>
      </c>
      <c r="I338" s="8">
        <f>IF(OR($G338="",$A338=""),"",IFERROR(INDEX(SAN_PHAM!$L$5:$L$26,MATCH($G338,SAN_PHAM!$A$5:$A$26,0))&amp;"?sub_id=ChiGiang-"&amp;SUBSTITUTE($A338,"-","")&amp;"-FBReels-SP"&amp;TEXT($G338,"00"),""))</f>
        <v/>
      </c>
      <c r="J338" s="8">
        <f>IF($G338="","",IFERROR(INDEX(SAN_PHAM!$N$5:$N$26,MATCH($G338,SAN_PHAM!$A$5:$A$26,0)),""))</f>
        <v/>
      </c>
      <c r="K338" s="7" t="n"/>
      <c r="L338" s="7" t="n"/>
      <c r="M338" s="26" t="n"/>
      <c r="N338" s="42" t="n"/>
      <c r="O338" s="26" t="n"/>
      <c r="P338" s="7" t="n"/>
      <c r="Q338" s="43" t="n"/>
      <c r="R338" s="43" t="n"/>
      <c r="S338" s="43" t="n"/>
      <c r="T338" s="7" t="n"/>
    </row>
    <row r="339">
      <c r="A339" s="26" t="n"/>
      <c r="B339" s="26" t="n"/>
      <c r="C339" s="7" t="n"/>
      <c r="D339" s="7" t="n"/>
      <c r="E339" s="7" t="n"/>
      <c r="F339" s="7" t="n"/>
      <c r="G339" s="26" t="n"/>
      <c r="H339" s="8">
        <f>IF($G339="","",IFERROR(INDEX(SAN_PHAM!$D$5:$D$26,MATCH($G339,SAN_PHAM!$A$5:$A$26,0)),"Sai mã SP"))</f>
        <v/>
      </c>
      <c r="I339" s="8">
        <f>IF(OR($G339="",$A339=""),"",IFERROR(INDEX(SAN_PHAM!$L$5:$L$26,MATCH($G339,SAN_PHAM!$A$5:$A$26,0))&amp;"?sub_id=ChiGiang-"&amp;SUBSTITUTE($A339,"-","")&amp;"-FBReels-SP"&amp;TEXT($G339,"00"),""))</f>
        <v/>
      </c>
      <c r="J339" s="8">
        <f>IF($G339="","",IFERROR(INDEX(SAN_PHAM!$N$5:$N$26,MATCH($G339,SAN_PHAM!$A$5:$A$26,0)),""))</f>
        <v/>
      </c>
      <c r="K339" s="7" t="n"/>
      <c r="L339" s="7" t="n"/>
      <c r="M339" s="26" t="n"/>
      <c r="N339" s="42" t="n"/>
      <c r="O339" s="26" t="n"/>
      <c r="P339" s="7" t="n"/>
      <c r="Q339" s="43" t="n"/>
      <c r="R339" s="43" t="n"/>
      <c r="S339" s="43" t="n"/>
      <c r="T339" s="7" t="n"/>
    </row>
    <row r="340">
      <c r="A340" s="26" t="n"/>
      <c r="B340" s="26" t="n"/>
      <c r="C340" s="7" t="n"/>
      <c r="D340" s="7" t="n"/>
      <c r="E340" s="7" t="n"/>
      <c r="F340" s="7" t="n"/>
      <c r="G340" s="26" t="n"/>
      <c r="H340" s="8">
        <f>IF($G340="","",IFERROR(INDEX(SAN_PHAM!$D$5:$D$26,MATCH($G340,SAN_PHAM!$A$5:$A$26,0)),"Sai mã SP"))</f>
        <v/>
      </c>
      <c r="I340" s="8">
        <f>IF(OR($G340="",$A340=""),"",IFERROR(INDEX(SAN_PHAM!$L$5:$L$26,MATCH($G340,SAN_PHAM!$A$5:$A$26,0))&amp;"?sub_id=ChiGiang-"&amp;SUBSTITUTE($A340,"-","")&amp;"-FBReels-SP"&amp;TEXT($G340,"00"),""))</f>
        <v/>
      </c>
      <c r="J340" s="8">
        <f>IF($G340="","",IFERROR(INDEX(SAN_PHAM!$N$5:$N$26,MATCH($G340,SAN_PHAM!$A$5:$A$26,0)),""))</f>
        <v/>
      </c>
      <c r="K340" s="7" t="n"/>
      <c r="L340" s="7" t="n"/>
      <c r="M340" s="26" t="n"/>
      <c r="N340" s="42" t="n"/>
      <c r="O340" s="26" t="n"/>
      <c r="P340" s="7" t="n"/>
      <c r="Q340" s="43" t="n"/>
      <c r="R340" s="43" t="n"/>
      <c r="S340" s="43" t="n"/>
      <c r="T340" s="7" t="n"/>
    </row>
    <row r="341">
      <c r="A341" s="26" t="n"/>
      <c r="B341" s="26" t="n"/>
      <c r="C341" s="7" t="n"/>
      <c r="D341" s="7" t="n"/>
      <c r="E341" s="7" t="n"/>
      <c r="F341" s="7" t="n"/>
      <c r="G341" s="26" t="n"/>
      <c r="H341" s="8">
        <f>IF($G341="","",IFERROR(INDEX(SAN_PHAM!$D$5:$D$26,MATCH($G341,SAN_PHAM!$A$5:$A$26,0)),"Sai mã SP"))</f>
        <v/>
      </c>
      <c r="I341" s="8">
        <f>IF(OR($G341="",$A341=""),"",IFERROR(INDEX(SAN_PHAM!$L$5:$L$26,MATCH($G341,SAN_PHAM!$A$5:$A$26,0))&amp;"?sub_id=ChiGiang-"&amp;SUBSTITUTE($A341,"-","")&amp;"-FBReels-SP"&amp;TEXT($G341,"00"),""))</f>
        <v/>
      </c>
      <c r="J341" s="8">
        <f>IF($G341="","",IFERROR(INDEX(SAN_PHAM!$N$5:$N$26,MATCH($G341,SAN_PHAM!$A$5:$A$26,0)),""))</f>
        <v/>
      </c>
      <c r="K341" s="7" t="n"/>
      <c r="L341" s="7" t="n"/>
      <c r="M341" s="26" t="n"/>
      <c r="N341" s="42" t="n"/>
      <c r="O341" s="26" t="n"/>
      <c r="P341" s="7" t="n"/>
      <c r="Q341" s="43" t="n"/>
      <c r="R341" s="43" t="n"/>
      <c r="S341" s="43" t="n"/>
      <c r="T341" s="7" t="n"/>
    </row>
    <row r="342">
      <c r="A342" s="26" t="n"/>
      <c r="B342" s="26" t="n"/>
      <c r="C342" s="7" t="n"/>
      <c r="D342" s="7" t="n"/>
      <c r="E342" s="7" t="n"/>
      <c r="F342" s="7" t="n"/>
      <c r="G342" s="26" t="n"/>
      <c r="H342" s="8">
        <f>IF($G342="","",IFERROR(INDEX(SAN_PHAM!$D$5:$D$26,MATCH($G342,SAN_PHAM!$A$5:$A$26,0)),"Sai mã SP"))</f>
        <v/>
      </c>
      <c r="I342" s="8">
        <f>IF(OR($G342="",$A342=""),"",IFERROR(INDEX(SAN_PHAM!$L$5:$L$26,MATCH($G342,SAN_PHAM!$A$5:$A$26,0))&amp;"?sub_id=ChiGiang-"&amp;SUBSTITUTE($A342,"-","")&amp;"-FBReels-SP"&amp;TEXT($G342,"00"),""))</f>
        <v/>
      </c>
      <c r="J342" s="8">
        <f>IF($G342="","",IFERROR(INDEX(SAN_PHAM!$N$5:$N$26,MATCH($G342,SAN_PHAM!$A$5:$A$26,0)),""))</f>
        <v/>
      </c>
      <c r="K342" s="7" t="n"/>
      <c r="L342" s="7" t="n"/>
      <c r="M342" s="26" t="n"/>
      <c r="N342" s="42" t="n"/>
      <c r="O342" s="26" t="n"/>
      <c r="P342" s="7" t="n"/>
      <c r="Q342" s="43" t="n"/>
      <c r="R342" s="43" t="n"/>
      <c r="S342" s="43" t="n"/>
      <c r="T342" s="7" t="n"/>
    </row>
    <row r="343">
      <c r="A343" s="26" t="n"/>
      <c r="B343" s="26" t="n"/>
      <c r="C343" s="7" t="n"/>
      <c r="D343" s="7" t="n"/>
      <c r="E343" s="7" t="n"/>
      <c r="F343" s="7" t="n"/>
      <c r="G343" s="26" t="n"/>
      <c r="H343" s="8">
        <f>IF($G343="","",IFERROR(INDEX(SAN_PHAM!$D$5:$D$26,MATCH($G343,SAN_PHAM!$A$5:$A$26,0)),"Sai mã SP"))</f>
        <v/>
      </c>
      <c r="I343" s="8">
        <f>IF(OR($G343="",$A343=""),"",IFERROR(INDEX(SAN_PHAM!$L$5:$L$26,MATCH($G343,SAN_PHAM!$A$5:$A$26,0))&amp;"?sub_id=ChiGiang-"&amp;SUBSTITUTE($A343,"-","")&amp;"-FBReels-SP"&amp;TEXT($G343,"00"),""))</f>
        <v/>
      </c>
      <c r="J343" s="8">
        <f>IF($G343="","",IFERROR(INDEX(SAN_PHAM!$N$5:$N$26,MATCH($G343,SAN_PHAM!$A$5:$A$26,0)),""))</f>
        <v/>
      </c>
      <c r="K343" s="7" t="n"/>
      <c r="L343" s="7" t="n"/>
      <c r="M343" s="26" t="n"/>
      <c r="N343" s="42" t="n"/>
      <c r="O343" s="26" t="n"/>
      <c r="P343" s="7" t="n"/>
      <c r="Q343" s="43" t="n"/>
      <c r="R343" s="43" t="n"/>
      <c r="S343" s="43" t="n"/>
      <c r="T343" s="7" t="n"/>
    </row>
    <row r="344">
      <c r="A344" s="26" t="n"/>
      <c r="B344" s="26" t="n"/>
      <c r="C344" s="7" t="n"/>
      <c r="D344" s="7" t="n"/>
      <c r="E344" s="7" t="n"/>
      <c r="F344" s="7" t="n"/>
      <c r="G344" s="26" t="n"/>
      <c r="H344" s="8">
        <f>IF($G344="","",IFERROR(INDEX(SAN_PHAM!$D$5:$D$26,MATCH($G344,SAN_PHAM!$A$5:$A$26,0)),"Sai mã SP"))</f>
        <v/>
      </c>
      <c r="I344" s="8">
        <f>IF(OR($G344="",$A344=""),"",IFERROR(INDEX(SAN_PHAM!$L$5:$L$26,MATCH($G344,SAN_PHAM!$A$5:$A$26,0))&amp;"?sub_id=ChiGiang-"&amp;SUBSTITUTE($A344,"-","")&amp;"-FBReels-SP"&amp;TEXT($G344,"00"),""))</f>
        <v/>
      </c>
      <c r="J344" s="8">
        <f>IF($G344="","",IFERROR(INDEX(SAN_PHAM!$N$5:$N$26,MATCH($G344,SAN_PHAM!$A$5:$A$26,0)),""))</f>
        <v/>
      </c>
      <c r="K344" s="7" t="n"/>
      <c r="L344" s="7" t="n"/>
      <c r="M344" s="26" t="n"/>
      <c r="N344" s="42" t="n"/>
      <c r="O344" s="26" t="n"/>
      <c r="P344" s="7" t="n"/>
      <c r="Q344" s="43" t="n"/>
      <c r="R344" s="43" t="n"/>
      <c r="S344" s="43" t="n"/>
      <c r="T344" s="7" t="n"/>
    </row>
    <row r="345">
      <c r="A345" s="26" t="n"/>
      <c r="B345" s="26" t="n"/>
      <c r="C345" s="7" t="n"/>
      <c r="D345" s="7" t="n"/>
      <c r="E345" s="7" t="n"/>
      <c r="F345" s="7" t="n"/>
      <c r="G345" s="26" t="n"/>
      <c r="H345" s="8">
        <f>IF($G345="","",IFERROR(INDEX(SAN_PHAM!$D$5:$D$26,MATCH($G345,SAN_PHAM!$A$5:$A$26,0)),"Sai mã SP"))</f>
        <v/>
      </c>
      <c r="I345" s="8">
        <f>IF(OR($G345="",$A345=""),"",IFERROR(INDEX(SAN_PHAM!$L$5:$L$26,MATCH($G345,SAN_PHAM!$A$5:$A$26,0))&amp;"?sub_id=ChiGiang-"&amp;SUBSTITUTE($A345,"-","")&amp;"-FBReels-SP"&amp;TEXT($G345,"00"),""))</f>
        <v/>
      </c>
      <c r="J345" s="8">
        <f>IF($G345="","",IFERROR(INDEX(SAN_PHAM!$N$5:$N$26,MATCH($G345,SAN_PHAM!$A$5:$A$26,0)),""))</f>
        <v/>
      </c>
      <c r="K345" s="7" t="n"/>
      <c r="L345" s="7" t="n"/>
      <c r="M345" s="26" t="n"/>
      <c r="N345" s="42" t="n"/>
      <c r="O345" s="26" t="n"/>
      <c r="P345" s="7" t="n"/>
      <c r="Q345" s="43" t="n"/>
      <c r="R345" s="43" t="n"/>
      <c r="S345" s="43" t="n"/>
      <c r="T345" s="7" t="n"/>
    </row>
    <row r="346">
      <c r="A346" s="26" t="n"/>
      <c r="B346" s="26" t="n"/>
      <c r="C346" s="7" t="n"/>
      <c r="D346" s="7" t="n"/>
      <c r="E346" s="7" t="n"/>
      <c r="F346" s="7" t="n"/>
      <c r="G346" s="26" t="n"/>
      <c r="H346" s="8">
        <f>IF($G346="","",IFERROR(INDEX(SAN_PHAM!$D$5:$D$26,MATCH($G346,SAN_PHAM!$A$5:$A$26,0)),"Sai mã SP"))</f>
        <v/>
      </c>
      <c r="I346" s="8">
        <f>IF(OR($G346="",$A346=""),"",IFERROR(INDEX(SAN_PHAM!$L$5:$L$26,MATCH($G346,SAN_PHAM!$A$5:$A$26,0))&amp;"?sub_id=ChiGiang-"&amp;SUBSTITUTE($A346,"-","")&amp;"-FBReels-SP"&amp;TEXT($G346,"00"),""))</f>
        <v/>
      </c>
      <c r="J346" s="8">
        <f>IF($G346="","",IFERROR(INDEX(SAN_PHAM!$N$5:$N$26,MATCH($G346,SAN_PHAM!$A$5:$A$26,0)),""))</f>
        <v/>
      </c>
      <c r="K346" s="7" t="n"/>
      <c r="L346" s="7" t="n"/>
      <c r="M346" s="26" t="n"/>
      <c r="N346" s="42" t="n"/>
      <c r="O346" s="26" t="n"/>
      <c r="P346" s="7" t="n"/>
      <c r="Q346" s="43" t="n"/>
      <c r="R346" s="43" t="n"/>
      <c r="S346" s="43" t="n"/>
      <c r="T346" s="7" t="n"/>
    </row>
    <row r="347">
      <c r="A347" s="26" t="n"/>
      <c r="B347" s="26" t="n"/>
      <c r="C347" s="7" t="n"/>
      <c r="D347" s="7" t="n"/>
      <c r="E347" s="7" t="n"/>
      <c r="F347" s="7" t="n"/>
      <c r="G347" s="26" t="n"/>
      <c r="H347" s="8">
        <f>IF($G347="","",IFERROR(INDEX(SAN_PHAM!$D$5:$D$26,MATCH($G347,SAN_PHAM!$A$5:$A$26,0)),"Sai mã SP"))</f>
        <v/>
      </c>
      <c r="I347" s="8">
        <f>IF(OR($G347="",$A347=""),"",IFERROR(INDEX(SAN_PHAM!$L$5:$L$26,MATCH($G347,SAN_PHAM!$A$5:$A$26,0))&amp;"?sub_id=ChiGiang-"&amp;SUBSTITUTE($A347,"-","")&amp;"-FBReels-SP"&amp;TEXT($G347,"00"),""))</f>
        <v/>
      </c>
      <c r="J347" s="8">
        <f>IF($G347="","",IFERROR(INDEX(SAN_PHAM!$N$5:$N$26,MATCH($G347,SAN_PHAM!$A$5:$A$26,0)),""))</f>
        <v/>
      </c>
      <c r="K347" s="7" t="n"/>
      <c r="L347" s="7" t="n"/>
      <c r="M347" s="26" t="n"/>
      <c r="N347" s="42" t="n"/>
      <c r="O347" s="26" t="n"/>
      <c r="P347" s="7" t="n"/>
      <c r="Q347" s="43" t="n"/>
      <c r="R347" s="43" t="n"/>
      <c r="S347" s="43" t="n"/>
      <c r="T347" s="7" t="n"/>
    </row>
    <row r="348">
      <c r="A348" s="26" t="n"/>
      <c r="B348" s="26" t="n"/>
      <c r="C348" s="7" t="n"/>
      <c r="D348" s="7" t="n"/>
      <c r="E348" s="7" t="n"/>
      <c r="F348" s="7" t="n"/>
      <c r="G348" s="26" t="n"/>
      <c r="H348" s="8">
        <f>IF($G348="","",IFERROR(INDEX(SAN_PHAM!$D$5:$D$26,MATCH($G348,SAN_PHAM!$A$5:$A$26,0)),"Sai mã SP"))</f>
        <v/>
      </c>
      <c r="I348" s="8">
        <f>IF(OR($G348="",$A348=""),"",IFERROR(INDEX(SAN_PHAM!$L$5:$L$26,MATCH($G348,SAN_PHAM!$A$5:$A$26,0))&amp;"?sub_id=ChiGiang-"&amp;SUBSTITUTE($A348,"-","")&amp;"-FBReels-SP"&amp;TEXT($G348,"00"),""))</f>
        <v/>
      </c>
      <c r="J348" s="8">
        <f>IF($G348="","",IFERROR(INDEX(SAN_PHAM!$N$5:$N$26,MATCH($G348,SAN_PHAM!$A$5:$A$26,0)),""))</f>
        <v/>
      </c>
      <c r="K348" s="7" t="n"/>
      <c r="L348" s="7" t="n"/>
      <c r="M348" s="26" t="n"/>
      <c r="N348" s="42" t="n"/>
      <c r="O348" s="26" t="n"/>
      <c r="P348" s="7" t="n"/>
      <c r="Q348" s="43" t="n"/>
      <c r="R348" s="43" t="n"/>
      <c r="S348" s="43" t="n"/>
      <c r="T348" s="7" t="n"/>
    </row>
    <row r="349">
      <c r="A349" s="26" t="n"/>
      <c r="B349" s="26" t="n"/>
      <c r="C349" s="7" t="n"/>
      <c r="D349" s="7" t="n"/>
      <c r="E349" s="7" t="n"/>
      <c r="F349" s="7" t="n"/>
      <c r="G349" s="26" t="n"/>
      <c r="H349" s="8">
        <f>IF($G349="","",IFERROR(INDEX(SAN_PHAM!$D$5:$D$26,MATCH($G349,SAN_PHAM!$A$5:$A$26,0)),"Sai mã SP"))</f>
        <v/>
      </c>
      <c r="I349" s="8">
        <f>IF(OR($G349="",$A349=""),"",IFERROR(INDEX(SAN_PHAM!$L$5:$L$26,MATCH($G349,SAN_PHAM!$A$5:$A$26,0))&amp;"?sub_id=ChiGiang-"&amp;SUBSTITUTE($A349,"-","")&amp;"-FBReels-SP"&amp;TEXT($G349,"00"),""))</f>
        <v/>
      </c>
      <c r="J349" s="8">
        <f>IF($G349="","",IFERROR(INDEX(SAN_PHAM!$N$5:$N$26,MATCH($G349,SAN_PHAM!$A$5:$A$26,0)),""))</f>
        <v/>
      </c>
      <c r="K349" s="7" t="n"/>
      <c r="L349" s="7" t="n"/>
      <c r="M349" s="26" t="n"/>
      <c r="N349" s="42" t="n"/>
      <c r="O349" s="26" t="n"/>
      <c r="P349" s="7" t="n"/>
      <c r="Q349" s="43" t="n"/>
      <c r="R349" s="43" t="n"/>
      <c r="S349" s="43" t="n"/>
      <c r="T349" s="7" t="n"/>
    </row>
    <row r="350">
      <c r="A350" s="26" t="n"/>
      <c r="B350" s="26" t="n"/>
      <c r="C350" s="7" t="n"/>
      <c r="D350" s="7" t="n"/>
      <c r="E350" s="7" t="n"/>
      <c r="F350" s="7" t="n"/>
      <c r="G350" s="26" t="n"/>
      <c r="H350" s="8">
        <f>IF($G350="","",IFERROR(INDEX(SAN_PHAM!$D$5:$D$26,MATCH($G350,SAN_PHAM!$A$5:$A$26,0)),"Sai mã SP"))</f>
        <v/>
      </c>
      <c r="I350" s="8">
        <f>IF(OR($G350="",$A350=""),"",IFERROR(INDEX(SAN_PHAM!$L$5:$L$26,MATCH($G350,SAN_PHAM!$A$5:$A$26,0))&amp;"?sub_id=ChiGiang-"&amp;SUBSTITUTE($A350,"-","")&amp;"-FBReels-SP"&amp;TEXT($G350,"00"),""))</f>
        <v/>
      </c>
      <c r="J350" s="8">
        <f>IF($G350="","",IFERROR(INDEX(SAN_PHAM!$N$5:$N$26,MATCH($G350,SAN_PHAM!$A$5:$A$26,0)),""))</f>
        <v/>
      </c>
      <c r="K350" s="7" t="n"/>
      <c r="L350" s="7" t="n"/>
      <c r="M350" s="26" t="n"/>
      <c r="N350" s="42" t="n"/>
      <c r="O350" s="26" t="n"/>
      <c r="P350" s="7" t="n"/>
      <c r="Q350" s="43" t="n"/>
      <c r="R350" s="43" t="n"/>
      <c r="S350" s="43" t="n"/>
      <c r="T350" s="7" t="n"/>
    </row>
    <row r="351">
      <c r="A351" s="26" t="n"/>
      <c r="B351" s="26" t="n"/>
      <c r="C351" s="7" t="n"/>
      <c r="D351" s="7" t="n"/>
      <c r="E351" s="7" t="n"/>
      <c r="F351" s="7" t="n"/>
      <c r="G351" s="26" t="n"/>
      <c r="H351" s="8">
        <f>IF($G351="","",IFERROR(INDEX(SAN_PHAM!$D$5:$D$26,MATCH($G351,SAN_PHAM!$A$5:$A$26,0)),"Sai mã SP"))</f>
        <v/>
      </c>
      <c r="I351" s="8">
        <f>IF(OR($G351="",$A351=""),"",IFERROR(INDEX(SAN_PHAM!$L$5:$L$26,MATCH($G351,SAN_PHAM!$A$5:$A$26,0))&amp;"?sub_id=ChiGiang-"&amp;SUBSTITUTE($A351,"-","")&amp;"-FBReels-SP"&amp;TEXT($G351,"00"),""))</f>
        <v/>
      </c>
      <c r="J351" s="8">
        <f>IF($G351="","",IFERROR(INDEX(SAN_PHAM!$N$5:$N$26,MATCH($G351,SAN_PHAM!$A$5:$A$26,0)),""))</f>
        <v/>
      </c>
      <c r="K351" s="7" t="n"/>
      <c r="L351" s="7" t="n"/>
      <c r="M351" s="26" t="n"/>
      <c r="N351" s="42" t="n"/>
      <c r="O351" s="26" t="n"/>
      <c r="P351" s="7" t="n"/>
      <c r="Q351" s="43" t="n"/>
      <c r="R351" s="43" t="n"/>
      <c r="S351" s="43" t="n"/>
      <c r="T351" s="7" t="n"/>
    </row>
    <row r="352">
      <c r="A352" s="26" t="n"/>
      <c r="B352" s="26" t="n"/>
      <c r="C352" s="7" t="n"/>
      <c r="D352" s="7" t="n"/>
      <c r="E352" s="7" t="n"/>
      <c r="F352" s="7" t="n"/>
      <c r="G352" s="26" t="n"/>
      <c r="H352" s="8">
        <f>IF($G352="","",IFERROR(INDEX(SAN_PHAM!$D$5:$D$26,MATCH($G352,SAN_PHAM!$A$5:$A$26,0)),"Sai mã SP"))</f>
        <v/>
      </c>
      <c r="I352" s="8">
        <f>IF(OR($G352="",$A352=""),"",IFERROR(INDEX(SAN_PHAM!$L$5:$L$26,MATCH($G352,SAN_PHAM!$A$5:$A$26,0))&amp;"?sub_id=ChiGiang-"&amp;SUBSTITUTE($A352,"-","")&amp;"-FBReels-SP"&amp;TEXT($G352,"00"),""))</f>
        <v/>
      </c>
      <c r="J352" s="8">
        <f>IF($G352="","",IFERROR(INDEX(SAN_PHAM!$N$5:$N$26,MATCH($G352,SAN_PHAM!$A$5:$A$26,0)),""))</f>
        <v/>
      </c>
      <c r="K352" s="7" t="n"/>
      <c r="L352" s="7" t="n"/>
      <c r="M352" s="26" t="n"/>
      <c r="N352" s="42" t="n"/>
      <c r="O352" s="26" t="n"/>
      <c r="P352" s="7" t="n"/>
      <c r="Q352" s="43" t="n"/>
      <c r="R352" s="43" t="n"/>
      <c r="S352" s="43" t="n"/>
      <c r="T352" s="7" t="n"/>
    </row>
    <row r="353">
      <c r="A353" s="26" t="n"/>
      <c r="B353" s="26" t="n"/>
      <c r="C353" s="7" t="n"/>
      <c r="D353" s="7" t="n"/>
      <c r="E353" s="7" t="n"/>
      <c r="F353" s="7" t="n"/>
      <c r="G353" s="26" t="n"/>
      <c r="H353" s="8">
        <f>IF($G353="","",IFERROR(INDEX(SAN_PHAM!$D$5:$D$26,MATCH($G353,SAN_PHAM!$A$5:$A$26,0)),"Sai mã SP"))</f>
        <v/>
      </c>
      <c r="I353" s="8">
        <f>IF(OR($G353="",$A353=""),"",IFERROR(INDEX(SAN_PHAM!$L$5:$L$26,MATCH($G353,SAN_PHAM!$A$5:$A$26,0))&amp;"?sub_id=ChiGiang-"&amp;SUBSTITUTE($A353,"-","")&amp;"-FBReels-SP"&amp;TEXT($G353,"00"),""))</f>
        <v/>
      </c>
      <c r="J353" s="8">
        <f>IF($G353="","",IFERROR(INDEX(SAN_PHAM!$N$5:$N$26,MATCH($G353,SAN_PHAM!$A$5:$A$26,0)),""))</f>
        <v/>
      </c>
      <c r="K353" s="7" t="n"/>
      <c r="L353" s="7" t="n"/>
      <c r="M353" s="26" t="n"/>
      <c r="N353" s="42" t="n"/>
      <c r="O353" s="26" t="n"/>
      <c r="P353" s="7" t="n"/>
      <c r="Q353" s="43" t="n"/>
      <c r="R353" s="43" t="n"/>
      <c r="S353" s="43" t="n"/>
      <c r="T353" s="7" t="n"/>
    </row>
    <row r="354">
      <c r="A354" s="26" t="n"/>
      <c r="B354" s="26" t="n"/>
      <c r="C354" s="7" t="n"/>
      <c r="D354" s="7" t="n"/>
      <c r="E354" s="7" t="n"/>
      <c r="F354" s="7" t="n"/>
      <c r="G354" s="26" t="n"/>
      <c r="H354" s="8">
        <f>IF($G354="","",IFERROR(INDEX(SAN_PHAM!$D$5:$D$26,MATCH($G354,SAN_PHAM!$A$5:$A$26,0)),"Sai mã SP"))</f>
        <v/>
      </c>
      <c r="I354" s="8">
        <f>IF(OR($G354="",$A354=""),"",IFERROR(INDEX(SAN_PHAM!$L$5:$L$26,MATCH($G354,SAN_PHAM!$A$5:$A$26,0))&amp;"?sub_id=ChiGiang-"&amp;SUBSTITUTE($A354,"-","")&amp;"-FBReels-SP"&amp;TEXT($G354,"00"),""))</f>
        <v/>
      </c>
      <c r="J354" s="8">
        <f>IF($G354="","",IFERROR(INDEX(SAN_PHAM!$N$5:$N$26,MATCH($G354,SAN_PHAM!$A$5:$A$26,0)),""))</f>
        <v/>
      </c>
      <c r="K354" s="7" t="n"/>
      <c r="L354" s="7" t="n"/>
      <c r="M354" s="26" t="n"/>
      <c r="N354" s="42" t="n"/>
      <c r="O354" s="26" t="n"/>
      <c r="P354" s="7" t="n"/>
      <c r="Q354" s="43" t="n"/>
      <c r="R354" s="43" t="n"/>
      <c r="S354" s="43" t="n"/>
      <c r="T354" s="7" t="n"/>
    </row>
    <row r="355">
      <c r="A355" s="26" t="n"/>
      <c r="B355" s="26" t="n"/>
      <c r="C355" s="7" t="n"/>
      <c r="D355" s="7" t="n"/>
      <c r="E355" s="7" t="n"/>
      <c r="F355" s="7" t="n"/>
      <c r="G355" s="26" t="n"/>
      <c r="H355" s="8">
        <f>IF($G355="","",IFERROR(INDEX(SAN_PHAM!$D$5:$D$26,MATCH($G355,SAN_PHAM!$A$5:$A$26,0)),"Sai mã SP"))</f>
        <v/>
      </c>
      <c r="I355" s="8">
        <f>IF(OR($G355="",$A355=""),"",IFERROR(INDEX(SAN_PHAM!$L$5:$L$26,MATCH($G355,SAN_PHAM!$A$5:$A$26,0))&amp;"?sub_id=ChiGiang-"&amp;SUBSTITUTE($A355,"-","")&amp;"-FBReels-SP"&amp;TEXT($G355,"00"),""))</f>
        <v/>
      </c>
      <c r="J355" s="8">
        <f>IF($G355="","",IFERROR(INDEX(SAN_PHAM!$N$5:$N$26,MATCH($G355,SAN_PHAM!$A$5:$A$26,0)),""))</f>
        <v/>
      </c>
      <c r="K355" s="7" t="n"/>
      <c r="L355" s="7" t="n"/>
      <c r="M355" s="26" t="n"/>
      <c r="N355" s="42" t="n"/>
      <c r="O355" s="26" t="n"/>
      <c r="P355" s="7" t="n"/>
      <c r="Q355" s="43" t="n"/>
      <c r="R355" s="43" t="n"/>
      <c r="S355" s="43" t="n"/>
      <c r="T355" s="7" t="n"/>
    </row>
    <row r="356">
      <c r="A356" s="26" t="n"/>
      <c r="B356" s="26" t="n"/>
      <c r="C356" s="7" t="n"/>
      <c r="D356" s="7" t="n"/>
      <c r="E356" s="7" t="n"/>
      <c r="F356" s="7" t="n"/>
      <c r="G356" s="26" t="n"/>
      <c r="H356" s="8">
        <f>IF($G356="","",IFERROR(INDEX(SAN_PHAM!$D$5:$D$26,MATCH($G356,SAN_PHAM!$A$5:$A$26,0)),"Sai mã SP"))</f>
        <v/>
      </c>
      <c r="I356" s="8">
        <f>IF(OR($G356="",$A356=""),"",IFERROR(INDEX(SAN_PHAM!$L$5:$L$26,MATCH($G356,SAN_PHAM!$A$5:$A$26,0))&amp;"?sub_id=ChiGiang-"&amp;SUBSTITUTE($A356,"-","")&amp;"-FBReels-SP"&amp;TEXT($G356,"00"),""))</f>
        <v/>
      </c>
      <c r="J356" s="8">
        <f>IF($G356="","",IFERROR(INDEX(SAN_PHAM!$N$5:$N$26,MATCH($G356,SAN_PHAM!$A$5:$A$26,0)),""))</f>
        <v/>
      </c>
      <c r="K356" s="7" t="n"/>
      <c r="L356" s="7" t="n"/>
      <c r="M356" s="26" t="n"/>
      <c r="N356" s="42" t="n"/>
      <c r="O356" s="26" t="n"/>
      <c r="P356" s="7" t="n"/>
      <c r="Q356" s="43" t="n"/>
      <c r="R356" s="43" t="n"/>
      <c r="S356" s="43" t="n"/>
      <c r="T356" s="7" t="n"/>
    </row>
    <row r="357">
      <c r="A357" s="26" t="n"/>
      <c r="B357" s="26" t="n"/>
      <c r="C357" s="7" t="n"/>
      <c r="D357" s="7" t="n"/>
      <c r="E357" s="7" t="n"/>
      <c r="F357" s="7" t="n"/>
      <c r="G357" s="26" t="n"/>
      <c r="H357" s="8">
        <f>IF($G357="","",IFERROR(INDEX(SAN_PHAM!$D$5:$D$26,MATCH($G357,SAN_PHAM!$A$5:$A$26,0)),"Sai mã SP"))</f>
        <v/>
      </c>
      <c r="I357" s="8">
        <f>IF(OR($G357="",$A357=""),"",IFERROR(INDEX(SAN_PHAM!$L$5:$L$26,MATCH($G357,SAN_PHAM!$A$5:$A$26,0))&amp;"?sub_id=ChiGiang-"&amp;SUBSTITUTE($A357,"-","")&amp;"-FBReels-SP"&amp;TEXT($G357,"00"),""))</f>
        <v/>
      </c>
      <c r="J357" s="8">
        <f>IF($G357="","",IFERROR(INDEX(SAN_PHAM!$N$5:$N$26,MATCH($G357,SAN_PHAM!$A$5:$A$26,0)),""))</f>
        <v/>
      </c>
      <c r="K357" s="7" t="n"/>
      <c r="L357" s="7" t="n"/>
      <c r="M357" s="26" t="n"/>
      <c r="N357" s="42" t="n"/>
      <c r="O357" s="26" t="n"/>
      <c r="P357" s="7" t="n"/>
      <c r="Q357" s="43" t="n"/>
      <c r="R357" s="43" t="n"/>
      <c r="S357" s="43" t="n"/>
      <c r="T357" s="7" t="n"/>
    </row>
    <row r="358">
      <c r="A358" s="26" t="n"/>
      <c r="B358" s="26" t="n"/>
      <c r="C358" s="7" t="n"/>
      <c r="D358" s="7" t="n"/>
      <c r="E358" s="7" t="n"/>
      <c r="F358" s="7" t="n"/>
      <c r="G358" s="26" t="n"/>
      <c r="H358" s="8">
        <f>IF($G358="","",IFERROR(INDEX(SAN_PHAM!$D$5:$D$26,MATCH($G358,SAN_PHAM!$A$5:$A$26,0)),"Sai mã SP"))</f>
        <v/>
      </c>
      <c r="I358" s="8">
        <f>IF(OR($G358="",$A358=""),"",IFERROR(INDEX(SAN_PHAM!$L$5:$L$26,MATCH($G358,SAN_PHAM!$A$5:$A$26,0))&amp;"?sub_id=ChiGiang-"&amp;SUBSTITUTE($A358,"-","")&amp;"-FBReels-SP"&amp;TEXT($G358,"00"),""))</f>
        <v/>
      </c>
      <c r="J358" s="8">
        <f>IF($G358="","",IFERROR(INDEX(SAN_PHAM!$N$5:$N$26,MATCH($G358,SAN_PHAM!$A$5:$A$26,0)),""))</f>
        <v/>
      </c>
      <c r="K358" s="7" t="n"/>
      <c r="L358" s="7" t="n"/>
      <c r="M358" s="26" t="n"/>
      <c r="N358" s="42" t="n"/>
      <c r="O358" s="26" t="n"/>
      <c r="P358" s="7" t="n"/>
      <c r="Q358" s="43" t="n"/>
      <c r="R358" s="43" t="n"/>
      <c r="S358" s="43" t="n"/>
      <c r="T358" s="7" t="n"/>
    </row>
    <row r="359">
      <c r="A359" s="26" t="n"/>
      <c r="B359" s="26" t="n"/>
      <c r="C359" s="7" t="n"/>
      <c r="D359" s="7" t="n"/>
      <c r="E359" s="7" t="n"/>
      <c r="F359" s="7" t="n"/>
      <c r="G359" s="26" t="n"/>
      <c r="H359" s="8">
        <f>IF($G359="","",IFERROR(INDEX(SAN_PHAM!$D$5:$D$26,MATCH($G359,SAN_PHAM!$A$5:$A$26,0)),"Sai mã SP"))</f>
        <v/>
      </c>
      <c r="I359" s="8">
        <f>IF(OR($G359="",$A359=""),"",IFERROR(INDEX(SAN_PHAM!$L$5:$L$26,MATCH($G359,SAN_PHAM!$A$5:$A$26,0))&amp;"?sub_id=ChiGiang-"&amp;SUBSTITUTE($A359,"-","")&amp;"-FBReels-SP"&amp;TEXT($G359,"00"),""))</f>
        <v/>
      </c>
      <c r="J359" s="8">
        <f>IF($G359="","",IFERROR(INDEX(SAN_PHAM!$N$5:$N$26,MATCH($G359,SAN_PHAM!$A$5:$A$26,0)),""))</f>
        <v/>
      </c>
      <c r="K359" s="7" t="n"/>
      <c r="L359" s="7" t="n"/>
      <c r="M359" s="26" t="n"/>
      <c r="N359" s="42" t="n"/>
      <c r="O359" s="26" t="n"/>
      <c r="P359" s="7" t="n"/>
      <c r="Q359" s="43" t="n"/>
      <c r="R359" s="43" t="n"/>
      <c r="S359" s="43" t="n"/>
      <c r="T359" s="7" t="n"/>
    </row>
    <row r="360">
      <c r="A360" s="26" t="n"/>
      <c r="B360" s="26" t="n"/>
      <c r="C360" s="7" t="n"/>
      <c r="D360" s="7" t="n"/>
      <c r="E360" s="7" t="n"/>
      <c r="F360" s="7" t="n"/>
      <c r="G360" s="26" t="n"/>
      <c r="H360" s="8">
        <f>IF($G360="","",IFERROR(INDEX(SAN_PHAM!$D$5:$D$26,MATCH($G360,SAN_PHAM!$A$5:$A$26,0)),"Sai mã SP"))</f>
        <v/>
      </c>
      <c r="I360" s="8">
        <f>IF(OR($G360="",$A360=""),"",IFERROR(INDEX(SAN_PHAM!$L$5:$L$26,MATCH($G360,SAN_PHAM!$A$5:$A$26,0))&amp;"?sub_id=ChiGiang-"&amp;SUBSTITUTE($A360,"-","")&amp;"-FBReels-SP"&amp;TEXT($G360,"00"),""))</f>
        <v/>
      </c>
      <c r="J360" s="8">
        <f>IF($G360="","",IFERROR(INDEX(SAN_PHAM!$N$5:$N$26,MATCH($G360,SAN_PHAM!$A$5:$A$26,0)),""))</f>
        <v/>
      </c>
      <c r="K360" s="7" t="n"/>
      <c r="L360" s="7" t="n"/>
      <c r="M360" s="26" t="n"/>
      <c r="N360" s="42" t="n"/>
      <c r="O360" s="26" t="n"/>
      <c r="P360" s="7" t="n"/>
      <c r="Q360" s="43" t="n"/>
      <c r="R360" s="43" t="n"/>
      <c r="S360" s="43" t="n"/>
      <c r="T360" s="7" t="n"/>
    </row>
    <row r="361">
      <c r="A361" s="26" t="n"/>
      <c r="B361" s="26" t="n"/>
      <c r="C361" s="7" t="n"/>
      <c r="D361" s="7" t="n"/>
      <c r="E361" s="7" t="n"/>
      <c r="F361" s="7" t="n"/>
      <c r="G361" s="26" t="n"/>
      <c r="H361" s="8">
        <f>IF($G361="","",IFERROR(INDEX(SAN_PHAM!$D$5:$D$26,MATCH($G361,SAN_PHAM!$A$5:$A$26,0)),"Sai mã SP"))</f>
        <v/>
      </c>
      <c r="I361" s="8">
        <f>IF(OR($G361="",$A361=""),"",IFERROR(INDEX(SAN_PHAM!$L$5:$L$26,MATCH($G361,SAN_PHAM!$A$5:$A$26,0))&amp;"?sub_id=ChiGiang-"&amp;SUBSTITUTE($A361,"-","")&amp;"-FBReels-SP"&amp;TEXT($G361,"00"),""))</f>
        <v/>
      </c>
      <c r="J361" s="8">
        <f>IF($G361="","",IFERROR(INDEX(SAN_PHAM!$N$5:$N$26,MATCH($G361,SAN_PHAM!$A$5:$A$26,0)),""))</f>
        <v/>
      </c>
      <c r="K361" s="7" t="n"/>
      <c r="L361" s="7" t="n"/>
      <c r="M361" s="26" t="n"/>
      <c r="N361" s="42" t="n"/>
      <c r="O361" s="26" t="n"/>
      <c r="P361" s="7" t="n"/>
      <c r="Q361" s="43" t="n"/>
      <c r="R361" s="43" t="n"/>
      <c r="S361" s="43" t="n"/>
      <c r="T361" s="7" t="n"/>
    </row>
    <row r="362">
      <c r="A362" s="26" t="n"/>
      <c r="B362" s="26" t="n"/>
      <c r="C362" s="7" t="n"/>
      <c r="D362" s="7" t="n"/>
      <c r="E362" s="7" t="n"/>
      <c r="F362" s="7" t="n"/>
      <c r="G362" s="26" t="n"/>
      <c r="H362" s="8">
        <f>IF($G362="","",IFERROR(INDEX(SAN_PHAM!$D$5:$D$26,MATCH($G362,SAN_PHAM!$A$5:$A$26,0)),"Sai mã SP"))</f>
        <v/>
      </c>
      <c r="I362" s="8">
        <f>IF(OR($G362="",$A362=""),"",IFERROR(INDEX(SAN_PHAM!$L$5:$L$26,MATCH($G362,SAN_PHAM!$A$5:$A$26,0))&amp;"?sub_id=ChiGiang-"&amp;SUBSTITUTE($A362,"-","")&amp;"-FBReels-SP"&amp;TEXT($G362,"00"),""))</f>
        <v/>
      </c>
      <c r="J362" s="8">
        <f>IF($G362="","",IFERROR(INDEX(SAN_PHAM!$N$5:$N$26,MATCH($G362,SAN_PHAM!$A$5:$A$26,0)),""))</f>
        <v/>
      </c>
      <c r="K362" s="7" t="n"/>
      <c r="L362" s="7" t="n"/>
      <c r="M362" s="26" t="n"/>
      <c r="N362" s="42" t="n"/>
      <c r="O362" s="26" t="n"/>
      <c r="P362" s="7" t="n"/>
      <c r="Q362" s="43" t="n"/>
      <c r="R362" s="43" t="n"/>
      <c r="S362" s="43" t="n"/>
      <c r="T362" s="7" t="n"/>
    </row>
    <row r="363">
      <c r="A363" s="26" t="n"/>
      <c r="B363" s="26" t="n"/>
      <c r="C363" s="7" t="n"/>
      <c r="D363" s="7" t="n"/>
      <c r="E363" s="7" t="n"/>
      <c r="F363" s="7" t="n"/>
      <c r="G363" s="26" t="n"/>
      <c r="H363" s="8">
        <f>IF($G363="","",IFERROR(INDEX(SAN_PHAM!$D$5:$D$26,MATCH($G363,SAN_PHAM!$A$5:$A$26,0)),"Sai mã SP"))</f>
        <v/>
      </c>
      <c r="I363" s="8">
        <f>IF(OR($G363="",$A363=""),"",IFERROR(INDEX(SAN_PHAM!$L$5:$L$26,MATCH($G363,SAN_PHAM!$A$5:$A$26,0))&amp;"?sub_id=ChiGiang-"&amp;SUBSTITUTE($A363,"-","")&amp;"-FBReels-SP"&amp;TEXT($G363,"00"),""))</f>
        <v/>
      </c>
      <c r="J363" s="8">
        <f>IF($G363="","",IFERROR(INDEX(SAN_PHAM!$N$5:$N$26,MATCH($G363,SAN_PHAM!$A$5:$A$26,0)),""))</f>
        <v/>
      </c>
      <c r="K363" s="7" t="n"/>
      <c r="L363" s="7" t="n"/>
      <c r="M363" s="26" t="n"/>
      <c r="N363" s="42" t="n"/>
      <c r="O363" s="26" t="n"/>
      <c r="P363" s="7" t="n"/>
      <c r="Q363" s="43" t="n"/>
      <c r="R363" s="43" t="n"/>
      <c r="S363" s="43" t="n"/>
      <c r="T363" s="7" t="n"/>
    </row>
    <row r="364">
      <c r="A364" s="26" t="n"/>
      <c r="B364" s="26" t="n"/>
      <c r="C364" s="7" t="n"/>
      <c r="D364" s="7" t="n"/>
      <c r="E364" s="7" t="n"/>
      <c r="F364" s="7" t="n"/>
      <c r="G364" s="26" t="n"/>
      <c r="H364" s="8">
        <f>IF($G364="","",IFERROR(INDEX(SAN_PHAM!$D$5:$D$26,MATCH($G364,SAN_PHAM!$A$5:$A$26,0)),"Sai mã SP"))</f>
        <v/>
      </c>
      <c r="I364" s="8">
        <f>IF(OR($G364="",$A364=""),"",IFERROR(INDEX(SAN_PHAM!$L$5:$L$26,MATCH($G364,SAN_PHAM!$A$5:$A$26,0))&amp;"?sub_id=ChiGiang-"&amp;SUBSTITUTE($A364,"-","")&amp;"-FBReels-SP"&amp;TEXT($G364,"00"),""))</f>
        <v/>
      </c>
      <c r="J364" s="8">
        <f>IF($G364="","",IFERROR(INDEX(SAN_PHAM!$N$5:$N$26,MATCH($G364,SAN_PHAM!$A$5:$A$26,0)),""))</f>
        <v/>
      </c>
      <c r="K364" s="7" t="n"/>
      <c r="L364" s="7" t="n"/>
      <c r="M364" s="26" t="n"/>
      <c r="N364" s="42" t="n"/>
      <c r="O364" s="26" t="n"/>
      <c r="P364" s="7" t="n"/>
      <c r="Q364" s="43" t="n"/>
      <c r="R364" s="43" t="n"/>
      <c r="S364" s="43" t="n"/>
      <c r="T364" s="7" t="n"/>
    </row>
    <row r="365">
      <c r="A365" s="26" t="n"/>
      <c r="B365" s="26" t="n"/>
      <c r="C365" s="7" t="n"/>
      <c r="D365" s="7" t="n"/>
      <c r="E365" s="7" t="n"/>
      <c r="F365" s="7" t="n"/>
      <c r="G365" s="26" t="n"/>
      <c r="H365" s="8">
        <f>IF($G365="","",IFERROR(INDEX(SAN_PHAM!$D$5:$D$26,MATCH($G365,SAN_PHAM!$A$5:$A$26,0)),"Sai mã SP"))</f>
        <v/>
      </c>
      <c r="I365" s="8">
        <f>IF(OR($G365="",$A365=""),"",IFERROR(INDEX(SAN_PHAM!$L$5:$L$26,MATCH($G365,SAN_PHAM!$A$5:$A$26,0))&amp;"?sub_id=ChiGiang-"&amp;SUBSTITUTE($A365,"-","")&amp;"-FBReels-SP"&amp;TEXT($G365,"00"),""))</f>
        <v/>
      </c>
      <c r="J365" s="8">
        <f>IF($G365="","",IFERROR(INDEX(SAN_PHAM!$N$5:$N$26,MATCH($G365,SAN_PHAM!$A$5:$A$26,0)),""))</f>
        <v/>
      </c>
      <c r="K365" s="7" t="n"/>
      <c r="L365" s="7" t="n"/>
      <c r="M365" s="26" t="n"/>
      <c r="N365" s="42" t="n"/>
      <c r="O365" s="26" t="n"/>
      <c r="P365" s="7" t="n"/>
      <c r="Q365" s="43" t="n"/>
      <c r="R365" s="43" t="n"/>
      <c r="S365" s="43" t="n"/>
      <c r="T365" s="7" t="n"/>
    </row>
    <row r="366">
      <c r="A366" s="26" t="n"/>
      <c r="B366" s="26" t="n"/>
      <c r="C366" s="7" t="n"/>
      <c r="D366" s="7" t="n"/>
      <c r="E366" s="7" t="n"/>
      <c r="F366" s="7" t="n"/>
      <c r="G366" s="26" t="n"/>
      <c r="H366" s="8">
        <f>IF($G366="","",IFERROR(INDEX(SAN_PHAM!$D$5:$D$26,MATCH($G366,SAN_PHAM!$A$5:$A$26,0)),"Sai mã SP"))</f>
        <v/>
      </c>
      <c r="I366" s="8">
        <f>IF(OR($G366="",$A366=""),"",IFERROR(INDEX(SAN_PHAM!$L$5:$L$26,MATCH($G366,SAN_PHAM!$A$5:$A$26,0))&amp;"?sub_id=ChiGiang-"&amp;SUBSTITUTE($A366,"-","")&amp;"-FBReels-SP"&amp;TEXT($G366,"00"),""))</f>
        <v/>
      </c>
      <c r="J366" s="8">
        <f>IF($G366="","",IFERROR(INDEX(SAN_PHAM!$N$5:$N$26,MATCH($G366,SAN_PHAM!$A$5:$A$26,0)),""))</f>
        <v/>
      </c>
      <c r="K366" s="7" t="n"/>
      <c r="L366" s="7" t="n"/>
      <c r="M366" s="26" t="n"/>
      <c r="N366" s="42" t="n"/>
      <c r="O366" s="26" t="n"/>
      <c r="P366" s="7" t="n"/>
      <c r="Q366" s="43" t="n"/>
      <c r="R366" s="43" t="n"/>
      <c r="S366" s="43" t="n"/>
      <c r="T366" s="7" t="n"/>
    </row>
    <row r="367">
      <c r="A367" s="26" t="n"/>
      <c r="B367" s="26" t="n"/>
      <c r="C367" s="7" t="n"/>
      <c r="D367" s="7" t="n"/>
      <c r="E367" s="7" t="n"/>
      <c r="F367" s="7" t="n"/>
      <c r="G367" s="26" t="n"/>
      <c r="H367" s="8">
        <f>IF($G367="","",IFERROR(INDEX(SAN_PHAM!$D$5:$D$26,MATCH($G367,SAN_PHAM!$A$5:$A$26,0)),"Sai mã SP"))</f>
        <v/>
      </c>
      <c r="I367" s="8">
        <f>IF(OR($G367="",$A367=""),"",IFERROR(INDEX(SAN_PHAM!$L$5:$L$26,MATCH($G367,SAN_PHAM!$A$5:$A$26,0))&amp;"?sub_id=ChiGiang-"&amp;SUBSTITUTE($A367,"-","")&amp;"-FBReels-SP"&amp;TEXT($G367,"00"),""))</f>
        <v/>
      </c>
      <c r="J367" s="8">
        <f>IF($G367="","",IFERROR(INDEX(SAN_PHAM!$N$5:$N$26,MATCH($G367,SAN_PHAM!$A$5:$A$26,0)),""))</f>
        <v/>
      </c>
      <c r="K367" s="7" t="n"/>
      <c r="L367" s="7" t="n"/>
      <c r="M367" s="26" t="n"/>
      <c r="N367" s="42" t="n"/>
      <c r="O367" s="26" t="n"/>
      <c r="P367" s="7" t="n"/>
      <c r="Q367" s="43" t="n"/>
      <c r="R367" s="43" t="n"/>
      <c r="S367" s="43" t="n"/>
      <c r="T367" s="7" t="n"/>
    </row>
    <row r="368">
      <c r="A368" s="26" t="n"/>
      <c r="B368" s="26" t="n"/>
      <c r="C368" s="7" t="n"/>
      <c r="D368" s="7" t="n"/>
      <c r="E368" s="7" t="n"/>
      <c r="F368" s="7" t="n"/>
      <c r="G368" s="26" t="n"/>
      <c r="H368" s="8">
        <f>IF($G368="","",IFERROR(INDEX(SAN_PHAM!$D$5:$D$26,MATCH($G368,SAN_PHAM!$A$5:$A$26,0)),"Sai mã SP"))</f>
        <v/>
      </c>
      <c r="I368" s="8">
        <f>IF(OR($G368="",$A368=""),"",IFERROR(INDEX(SAN_PHAM!$L$5:$L$26,MATCH($G368,SAN_PHAM!$A$5:$A$26,0))&amp;"?sub_id=ChiGiang-"&amp;SUBSTITUTE($A368,"-","")&amp;"-FBReels-SP"&amp;TEXT($G368,"00"),""))</f>
        <v/>
      </c>
      <c r="J368" s="8">
        <f>IF($G368="","",IFERROR(INDEX(SAN_PHAM!$N$5:$N$26,MATCH($G368,SAN_PHAM!$A$5:$A$26,0)),""))</f>
        <v/>
      </c>
      <c r="K368" s="7" t="n"/>
      <c r="L368" s="7" t="n"/>
      <c r="M368" s="26" t="n"/>
      <c r="N368" s="42" t="n"/>
      <c r="O368" s="26" t="n"/>
      <c r="P368" s="7" t="n"/>
      <c r="Q368" s="43" t="n"/>
      <c r="R368" s="43" t="n"/>
      <c r="S368" s="43" t="n"/>
      <c r="T368" s="7" t="n"/>
    </row>
    <row r="369">
      <c r="A369" s="26" t="n"/>
      <c r="B369" s="26" t="n"/>
      <c r="C369" s="7" t="n"/>
      <c r="D369" s="7" t="n"/>
      <c r="E369" s="7" t="n"/>
      <c r="F369" s="7" t="n"/>
      <c r="G369" s="26" t="n"/>
      <c r="H369" s="8">
        <f>IF($G369="","",IFERROR(INDEX(SAN_PHAM!$D$5:$D$26,MATCH($G369,SAN_PHAM!$A$5:$A$26,0)),"Sai mã SP"))</f>
        <v/>
      </c>
      <c r="I369" s="8">
        <f>IF(OR($G369="",$A369=""),"",IFERROR(INDEX(SAN_PHAM!$L$5:$L$26,MATCH($G369,SAN_PHAM!$A$5:$A$26,0))&amp;"?sub_id=ChiGiang-"&amp;SUBSTITUTE($A369,"-","")&amp;"-FBReels-SP"&amp;TEXT($G369,"00"),""))</f>
        <v/>
      </c>
      <c r="J369" s="8">
        <f>IF($G369="","",IFERROR(INDEX(SAN_PHAM!$N$5:$N$26,MATCH($G369,SAN_PHAM!$A$5:$A$26,0)),""))</f>
        <v/>
      </c>
      <c r="K369" s="7" t="n"/>
      <c r="L369" s="7" t="n"/>
      <c r="M369" s="26" t="n"/>
      <c r="N369" s="42" t="n"/>
      <c r="O369" s="26" t="n"/>
      <c r="P369" s="7" t="n"/>
      <c r="Q369" s="43" t="n"/>
      <c r="R369" s="43" t="n"/>
      <c r="S369" s="43" t="n"/>
      <c r="T369" s="7" t="n"/>
    </row>
    <row r="370">
      <c r="A370" s="26" t="n"/>
      <c r="B370" s="26" t="n"/>
      <c r="C370" s="7" t="n"/>
      <c r="D370" s="7" t="n"/>
      <c r="E370" s="7" t="n"/>
      <c r="F370" s="7" t="n"/>
      <c r="G370" s="26" t="n"/>
      <c r="H370" s="8">
        <f>IF($G370="","",IFERROR(INDEX(SAN_PHAM!$D$5:$D$26,MATCH($G370,SAN_PHAM!$A$5:$A$26,0)),"Sai mã SP"))</f>
        <v/>
      </c>
      <c r="I370" s="8">
        <f>IF(OR($G370="",$A370=""),"",IFERROR(INDEX(SAN_PHAM!$L$5:$L$26,MATCH($G370,SAN_PHAM!$A$5:$A$26,0))&amp;"?sub_id=ChiGiang-"&amp;SUBSTITUTE($A370,"-","")&amp;"-FBReels-SP"&amp;TEXT($G370,"00"),""))</f>
        <v/>
      </c>
      <c r="J370" s="8">
        <f>IF($G370="","",IFERROR(INDEX(SAN_PHAM!$N$5:$N$26,MATCH($G370,SAN_PHAM!$A$5:$A$26,0)),""))</f>
        <v/>
      </c>
      <c r="K370" s="7" t="n"/>
      <c r="L370" s="7" t="n"/>
      <c r="M370" s="26" t="n"/>
      <c r="N370" s="42" t="n"/>
      <c r="O370" s="26" t="n"/>
      <c r="P370" s="7" t="n"/>
      <c r="Q370" s="43" t="n"/>
      <c r="R370" s="43" t="n"/>
      <c r="S370" s="43" t="n"/>
      <c r="T370" s="7" t="n"/>
    </row>
    <row r="371">
      <c r="A371" s="26" t="n"/>
      <c r="B371" s="26" t="n"/>
      <c r="C371" s="7" t="n"/>
      <c r="D371" s="7" t="n"/>
      <c r="E371" s="7" t="n"/>
      <c r="F371" s="7" t="n"/>
      <c r="G371" s="26" t="n"/>
      <c r="H371" s="8">
        <f>IF($G371="","",IFERROR(INDEX(SAN_PHAM!$D$5:$D$26,MATCH($G371,SAN_PHAM!$A$5:$A$26,0)),"Sai mã SP"))</f>
        <v/>
      </c>
      <c r="I371" s="8">
        <f>IF(OR($G371="",$A371=""),"",IFERROR(INDEX(SAN_PHAM!$L$5:$L$26,MATCH($G371,SAN_PHAM!$A$5:$A$26,0))&amp;"?sub_id=ChiGiang-"&amp;SUBSTITUTE($A371,"-","")&amp;"-FBReels-SP"&amp;TEXT($G371,"00"),""))</f>
        <v/>
      </c>
      <c r="J371" s="8">
        <f>IF($G371="","",IFERROR(INDEX(SAN_PHAM!$N$5:$N$26,MATCH($G371,SAN_PHAM!$A$5:$A$26,0)),""))</f>
        <v/>
      </c>
      <c r="K371" s="7" t="n"/>
      <c r="L371" s="7" t="n"/>
      <c r="M371" s="26" t="n"/>
      <c r="N371" s="42" t="n"/>
      <c r="O371" s="26" t="n"/>
      <c r="P371" s="7" t="n"/>
      <c r="Q371" s="43" t="n"/>
      <c r="R371" s="43" t="n"/>
      <c r="S371" s="43" t="n"/>
      <c r="T371" s="7" t="n"/>
    </row>
    <row r="372">
      <c r="A372" s="26" t="n"/>
      <c r="B372" s="26" t="n"/>
      <c r="C372" s="7" t="n"/>
      <c r="D372" s="7" t="n"/>
      <c r="E372" s="7" t="n"/>
      <c r="F372" s="7" t="n"/>
      <c r="G372" s="26" t="n"/>
      <c r="H372" s="8">
        <f>IF($G372="","",IFERROR(INDEX(SAN_PHAM!$D$5:$D$26,MATCH($G372,SAN_PHAM!$A$5:$A$26,0)),"Sai mã SP"))</f>
        <v/>
      </c>
      <c r="I372" s="8">
        <f>IF(OR($G372="",$A372=""),"",IFERROR(INDEX(SAN_PHAM!$L$5:$L$26,MATCH($G372,SAN_PHAM!$A$5:$A$26,0))&amp;"?sub_id=ChiGiang-"&amp;SUBSTITUTE($A372,"-","")&amp;"-FBReels-SP"&amp;TEXT($G372,"00"),""))</f>
        <v/>
      </c>
      <c r="J372" s="8">
        <f>IF($G372="","",IFERROR(INDEX(SAN_PHAM!$N$5:$N$26,MATCH($G372,SAN_PHAM!$A$5:$A$26,0)),""))</f>
        <v/>
      </c>
      <c r="K372" s="7" t="n"/>
      <c r="L372" s="7" t="n"/>
      <c r="M372" s="26" t="n"/>
      <c r="N372" s="42" t="n"/>
      <c r="O372" s="26" t="n"/>
      <c r="P372" s="7" t="n"/>
      <c r="Q372" s="43" t="n"/>
      <c r="R372" s="43" t="n"/>
      <c r="S372" s="43" t="n"/>
      <c r="T372" s="7" t="n"/>
    </row>
    <row r="373">
      <c r="A373" s="26" t="n"/>
      <c r="B373" s="26" t="n"/>
      <c r="C373" s="7" t="n"/>
      <c r="D373" s="7" t="n"/>
      <c r="E373" s="7" t="n"/>
      <c r="F373" s="7" t="n"/>
      <c r="G373" s="26" t="n"/>
      <c r="H373" s="8">
        <f>IF($G373="","",IFERROR(INDEX(SAN_PHAM!$D$5:$D$26,MATCH($G373,SAN_PHAM!$A$5:$A$26,0)),"Sai mã SP"))</f>
        <v/>
      </c>
      <c r="I373" s="8">
        <f>IF(OR($G373="",$A373=""),"",IFERROR(INDEX(SAN_PHAM!$L$5:$L$26,MATCH($G373,SAN_PHAM!$A$5:$A$26,0))&amp;"?sub_id=ChiGiang-"&amp;SUBSTITUTE($A373,"-","")&amp;"-FBReels-SP"&amp;TEXT($G373,"00"),""))</f>
        <v/>
      </c>
      <c r="J373" s="8">
        <f>IF($G373="","",IFERROR(INDEX(SAN_PHAM!$N$5:$N$26,MATCH($G373,SAN_PHAM!$A$5:$A$26,0)),""))</f>
        <v/>
      </c>
      <c r="K373" s="7" t="n"/>
      <c r="L373" s="7" t="n"/>
      <c r="M373" s="26" t="n"/>
      <c r="N373" s="42" t="n"/>
      <c r="O373" s="26" t="n"/>
      <c r="P373" s="7" t="n"/>
      <c r="Q373" s="43" t="n"/>
      <c r="R373" s="43" t="n"/>
      <c r="S373" s="43" t="n"/>
      <c r="T373" s="7" t="n"/>
    </row>
    <row r="374">
      <c r="A374" s="26" t="n"/>
      <c r="B374" s="26" t="n"/>
      <c r="C374" s="7" t="n"/>
      <c r="D374" s="7" t="n"/>
      <c r="E374" s="7" t="n"/>
      <c r="F374" s="7" t="n"/>
      <c r="G374" s="26" t="n"/>
      <c r="H374" s="8">
        <f>IF($G374="","",IFERROR(INDEX(SAN_PHAM!$D$5:$D$26,MATCH($G374,SAN_PHAM!$A$5:$A$26,0)),"Sai mã SP"))</f>
        <v/>
      </c>
      <c r="I374" s="8">
        <f>IF(OR($G374="",$A374=""),"",IFERROR(INDEX(SAN_PHAM!$L$5:$L$26,MATCH($G374,SAN_PHAM!$A$5:$A$26,0))&amp;"?sub_id=ChiGiang-"&amp;SUBSTITUTE($A374,"-","")&amp;"-FBReels-SP"&amp;TEXT($G374,"00"),""))</f>
        <v/>
      </c>
      <c r="J374" s="8">
        <f>IF($G374="","",IFERROR(INDEX(SAN_PHAM!$N$5:$N$26,MATCH($G374,SAN_PHAM!$A$5:$A$26,0)),""))</f>
        <v/>
      </c>
      <c r="K374" s="7" t="n"/>
      <c r="L374" s="7" t="n"/>
      <c r="M374" s="26" t="n"/>
      <c r="N374" s="42" t="n"/>
      <c r="O374" s="26" t="n"/>
      <c r="P374" s="7" t="n"/>
      <c r="Q374" s="43" t="n"/>
      <c r="R374" s="43" t="n"/>
      <c r="S374" s="43" t="n"/>
      <c r="T374" s="7" t="n"/>
    </row>
    <row r="375">
      <c r="A375" s="26" t="n"/>
      <c r="B375" s="26" t="n"/>
      <c r="C375" s="7" t="n"/>
      <c r="D375" s="7" t="n"/>
      <c r="E375" s="7" t="n"/>
      <c r="F375" s="7" t="n"/>
      <c r="G375" s="26" t="n"/>
      <c r="H375" s="8">
        <f>IF($G375="","",IFERROR(INDEX(SAN_PHAM!$D$5:$D$26,MATCH($G375,SAN_PHAM!$A$5:$A$26,0)),"Sai mã SP"))</f>
        <v/>
      </c>
      <c r="I375" s="8">
        <f>IF(OR($G375="",$A375=""),"",IFERROR(INDEX(SAN_PHAM!$L$5:$L$26,MATCH($G375,SAN_PHAM!$A$5:$A$26,0))&amp;"?sub_id=ChiGiang-"&amp;SUBSTITUTE($A375,"-","")&amp;"-FBReels-SP"&amp;TEXT($G375,"00"),""))</f>
        <v/>
      </c>
      <c r="J375" s="8">
        <f>IF($G375="","",IFERROR(INDEX(SAN_PHAM!$N$5:$N$26,MATCH($G375,SAN_PHAM!$A$5:$A$26,0)),""))</f>
        <v/>
      </c>
      <c r="K375" s="7" t="n"/>
      <c r="L375" s="7" t="n"/>
      <c r="M375" s="26" t="n"/>
      <c r="N375" s="42" t="n"/>
      <c r="O375" s="26" t="n"/>
      <c r="P375" s="7" t="n"/>
      <c r="Q375" s="43" t="n"/>
      <c r="R375" s="43" t="n"/>
      <c r="S375" s="43" t="n"/>
      <c r="T375" s="7" t="n"/>
    </row>
    <row r="376">
      <c r="A376" s="26" t="n"/>
      <c r="B376" s="26" t="n"/>
      <c r="C376" s="7" t="n"/>
      <c r="D376" s="7" t="n"/>
      <c r="E376" s="7" t="n"/>
      <c r="F376" s="7" t="n"/>
      <c r="G376" s="26" t="n"/>
      <c r="H376" s="8">
        <f>IF($G376="","",IFERROR(INDEX(SAN_PHAM!$D$5:$D$26,MATCH($G376,SAN_PHAM!$A$5:$A$26,0)),"Sai mã SP"))</f>
        <v/>
      </c>
      <c r="I376" s="8">
        <f>IF(OR($G376="",$A376=""),"",IFERROR(INDEX(SAN_PHAM!$L$5:$L$26,MATCH($G376,SAN_PHAM!$A$5:$A$26,0))&amp;"?sub_id=ChiGiang-"&amp;SUBSTITUTE($A376,"-","")&amp;"-FBReels-SP"&amp;TEXT($G376,"00"),""))</f>
        <v/>
      </c>
      <c r="J376" s="8">
        <f>IF($G376="","",IFERROR(INDEX(SAN_PHAM!$N$5:$N$26,MATCH($G376,SAN_PHAM!$A$5:$A$26,0)),""))</f>
        <v/>
      </c>
      <c r="K376" s="7" t="n"/>
      <c r="L376" s="7" t="n"/>
      <c r="M376" s="26" t="n"/>
      <c r="N376" s="42" t="n"/>
      <c r="O376" s="26" t="n"/>
      <c r="P376" s="7" t="n"/>
      <c r="Q376" s="43" t="n"/>
      <c r="R376" s="43" t="n"/>
      <c r="S376" s="43" t="n"/>
      <c r="T376" s="7" t="n"/>
    </row>
    <row r="377">
      <c r="A377" s="26" t="n"/>
      <c r="B377" s="26" t="n"/>
      <c r="C377" s="7" t="n"/>
      <c r="D377" s="7" t="n"/>
      <c r="E377" s="7" t="n"/>
      <c r="F377" s="7" t="n"/>
      <c r="G377" s="26" t="n"/>
      <c r="H377" s="8">
        <f>IF($G377="","",IFERROR(INDEX(SAN_PHAM!$D$5:$D$26,MATCH($G377,SAN_PHAM!$A$5:$A$26,0)),"Sai mã SP"))</f>
        <v/>
      </c>
      <c r="I377" s="8">
        <f>IF(OR($G377="",$A377=""),"",IFERROR(INDEX(SAN_PHAM!$L$5:$L$26,MATCH($G377,SAN_PHAM!$A$5:$A$26,0))&amp;"?sub_id=ChiGiang-"&amp;SUBSTITUTE($A377,"-","")&amp;"-FBReels-SP"&amp;TEXT($G377,"00"),""))</f>
        <v/>
      </c>
      <c r="J377" s="8">
        <f>IF($G377="","",IFERROR(INDEX(SAN_PHAM!$N$5:$N$26,MATCH($G377,SAN_PHAM!$A$5:$A$26,0)),""))</f>
        <v/>
      </c>
      <c r="K377" s="7" t="n"/>
      <c r="L377" s="7" t="n"/>
      <c r="M377" s="26" t="n"/>
      <c r="N377" s="42" t="n"/>
      <c r="O377" s="26" t="n"/>
      <c r="P377" s="7" t="n"/>
      <c r="Q377" s="43" t="n"/>
      <c r="R377" s="43" t="n"/>
      <c r="S377" s="43" t="n"/>
      <c r="T377" s="7" t="n"/>
    </row>
    <row r="378">
      <c r="A378" s="26" t="n"/>
      <c r="B378" s="26" t="n"/>
      <c r="C378" s="7" t="n"/>
      <c r="D378" s="7" t="n"/>
      <c r="E378" s="7" t="n"/>
      <c r="F378" s="7" t="n"/>
      <c r="G378" s="26" t="n"/>
      <c r="H378" s="8">
        <f>IF($G378="","",IFERROR(INDEX(SAN_PHAM!$D$5:$D$26,MATCH($G378,SAN_PHAM!$A$5:$A$26,0)),"Sai mã SP"))</f>
        <v/>
      </c>
      <c r="I378" s="8">
        <f>IF(OR($G378="",$A378=""),"",IFERROR(INDEX(SAN_PHAM!$L$5:$L$26,MATCH($G378,SAN_PHAM!$A$5:$A$26,0))&amp;"?sub_id=ChiGiang-"&amp;SUBSTITUTE($A378,"-","")&amp;"-FBReels-SP"&amp;TEXT($G378,"00"),""))</f>
        <v/>
      </c>
      <c r="J378" s="8">
        <f>IF($G378="","",IFERROR(INDEX(SAN_PHAM!$N$5:$N$26,MATCH($G378,SAN_PHAM!$A$5:$A$26,0)),""))</f>
        <v/>
      </c>
      <c r="K378" s="7" t="n"/>
      <c r="L378" s="7" t="n"/>
      <c r="M378" s="26" t="n"/>
      <c r="N378" s="42" t="n"/>
      <c r="O378" s="26" t="n"/>
      <c r="P378" s="7" t="n"/>
      <c r="Q378" s="43" t="n"/>
      <c r="R378" s="43" t="n"/>
      <c r="S378" s="43" t="n"/>
      <c r="T378" s="7" t="n"/>
    </row>
    <row r="379">
      <c r="A379" s="26" t="n"/>
      <c r="B379" s="26" t="n"/>
      <c r="C379" s="7" t="n"/>
      <c r="D379" s="7" t="n"/>
      <c r="E379" s="7" t="n"/>
      <c r="F379" s="7" t="n"/>
      <c r="G379" s="26" t="n"/>
      <c r="H379" s="8">
        <f>IF($G379="","",IFERROR(INDEX(SAN_PHAM!$D$5:$D$26,MATCH($G379,SAN_PHAM!$A$5:$A$26,0)),"Sai mã SP"))</f>
        <v/>
      </c>
      <c r="I379" s="8">
        <f>IF(OR($G379="",$A379=""),"",IFERROR(INDEX(SAN_PHAM!$L$5:$L$26,MATCH($G379,SAN_PHAM!$A$5:$A$26,0))&amp;"?sub_id=ChiGiang-"&amp;SUBSTITUTE($A379,"-","")&amp;"-FBReels-SP"&amp;TEXT($G379,"00"),""))</f>
        <v/>
      </c>
      <c r="J379" s="8">
        <f>IF($G379="","",IFERROR(INDEX(SAN_PHAM!$N$5:$N$26,MATCH($G379,SAN_PHAM!$A$5:$A$26,0)),""))</f>
        <v/>
      </c>
      <c r="K379" s="7" t="n"/>
      <c r="L379" s="7" t="n"/>
      <c r="M379" s="26" t="n"/>
      <c r="N379" s="42" t="n"/>
      <c r="O379" s="26" t="n"/>
      <c r="P379" s="7" t="n"/>
      <c r="Q379" s="43" t="n"/>
      <c r="R379" s="43" t="n"/>
      <c r="S379" s="43" t="n"/>
      <c r="T379" s="7" t="n"/>
    </row>
    <row r="380">
      <c r="A380" s="26" t="n"/>
      <c r="B380" s="26" t="n"/>
      <c r="C380" s="7" t="n"/>
      <c r="D380" s="7" t="n"/>
      <c r="E380" s="7" t="n"/>
      <c r="F380" s="7" t="n"/>
      <c r="G380" s="26" t="n"/>
      <c r="H380" s="8">
        <f>IF($G380="","",IFERROR(INDEX(SAN_PHAM!$D$5:$D$26,MATCH($G380,SAN_PHAM!$A$5:$A$26,0)),"Sai mã SP"))</f>
        <v/>
      </c>
      <c r="I380" s="8">
        <f>IF(OR($G380="",$A380=""),"",IFERROR(INDEX(SAN_PHAM!$L$5:$L$26,MATCH($G380,SAN_PHAM!$A$5:$A$26,0))&amp;"?sub_id=ChiGiang-"&amp;SUBSTITUTE($A380,"-","")&amp;"-FBReels-SP"&amp;TEXT($G380,"00"),""))</f>
        <v/>
      </c>
      <c r="J380" s="8">
        <f>IF($G380="","",IFERROR(INDEX(SAN_PHAM!$N$5:$N$26,MATCH($G380,SAN_PHAM!$A$5:$A$26,0)),""))</f>
        <v/>
      </c>
      <c r="K380" s="7" t="n"/>
      <c r="L380" s="7" t="n"/>
      <c r="M380" s="26" t="n"/>
      <c r="N380" s="42" t="n"/>
      <c r="O380" s="26" t="n"/>
      <c r="P380" s="7" t="n"/>
      <c r="Q380" s="43" t="n"/>
      <c r="R380" s="43" t="n"/>
      <c r="S380" s="43" t="n"/>
      <c r="T380" s="7" t="n"/>
    </row>
    <row r="381">
      <c r="A381" s="26" t="n"/>
      <c r="B381" s="26" t="n"/>
      <c r="C381" s="7" t="n"/>
      <c r="D381" s="7" t="n"/>
      <c r="E381" s="7" t="n"/>
      <c r="F381" s="7" t="n"/>
      <c r="G381" s="26" t="n"/>
      <c r="H381" s="8">
        <f>IF($G381="","",IFERROR(INDEX(SAN_PHAM!$D$5:$D$26,MATCH($G381,SAN_PHAM!$A$5:$A$26,0)),"Sai mã SP"))</f>
        <v/>
      </c>
      <c r="I381" s="8">
        <f>IF(OR($G381="",$A381=""),"",IFERROR(INDEX(SAN_PHAM!$L$5:$L$26,MATCH($G381,SAN_PHAM!$A$5:$A$26,0))&amp;"?sub_id=ChiGiang-"&amp;SUBSTITUTE($A381,"-","")&amp;"-FBReels-SP"&amp;TEXT($G381,"00"),""))</f>
        <v/>
      </c>
      <c r="J381" s="8">
        <f>IF($G381="","",IFERROR(INDEX(SAN_PHAM!$N$5:$N$26,MATCH($G381,SAN_PHAM!$A$5:$A$26,0)),""))</f>
        <v/>
      </c>
      <c r="K381" s="7" t="n"/>
      <c r="L381" s="7" t="n"/>
      <c r="M381" s="26" t="n"/>
      <c r="N381" s="42" t="n"/>
      <c r="O381" s="26" t="n"/>
      <c r="P381" s="7" t="n"/>
      <c r="Q381" s="43" t="n"/>
      <c r="R381" s="43" t="n"/>
      <c r="S381" s="43" t="n"/>
      <c r="T381" s="7" t="n"/>
    </row>
    <row r="382">
      <c r="A382" s="26" t="n"/>
      <c r="B382" s="26" t="n"/>
      <c r="C382" s="7" t="n"/>
      <c r="D382" s="7" t="n"/>
      <c r="E382" s="7" t="n"/>
      <c r="F382" s="7" t="n"/>
      <c r="G382" s="26" t="n"/>
      <c r="H382" s="8">
        <f>IF($G382="","",IFERROR(INDEX(SAN_PHAM!$D$5:$D$26,MATCH($G382,SAN_PHAM!$A$5:$A$26,0)),"Sai mã SP"))</f>
        <v/>
      </c>
      <c r="I382" s="8">
        <f>IF(OR($G382="",$A382=""),"",IFERROR(INDEX(SAN_PHAM!$L$5:$L$26,MATCH($G382,SAN_PHAM!$A$5:$A$26,0))&amp;"?sub_id=ChiGiang-"&amp;SUBSTITUTE($A382,"-","")&amp;"-FBReels-SP"&amp;TEXT($G382,"00"),""))</f>
        <v/>
      </c>
      <c r="J382" s="8">
        <f>IF($G382="","",IFERROR(INDEX(SAN_PHAM!$N$5:$N$26,MATCH($G382,SAN_PHAM!$A$5:$A$26,0)),""))</f>
        <v/>
      </c>
      <c r="K382" s="7" t="n"/>
      <c r="L382" s="7" t="n"/>
      <c r="M382" s="26" t="n"/>
      <c r="N382" s="42" t="n"/>
      <c r="O382" s="26" t="n"/>
      <c r="P382" s="7" t="n"/>
      <c r="Q382" s="43" t="n"/>
      <c r="R382" s="43" t="n"/>
      <c r="S382" s="43" t="n"/>
      <c r="T382" s="7" t="n"/>
    </row>
    <row r="383">
      <c r="A383" s="26" t="n"/>
      <c r="B383" s="26" t="n"/>
      <c r="C383" s="7" t="n"/>
      <c r="D383" s="7" t="n"/>
      <c r="E383" s="7" t="n"/>
      <c r="F383" s="7" t="n"/>
      <c r="G383" s="26" t="n"/>
      <c r="H383" s="8">
        <f>IF($G383="","",IFERROR(INDEX(SAN_PHAM!$D$5:$D$26,MATCH($G383,SAN_PHAM!$A$5:$A$26,0)),"Sai mã SP"))</f>
        <v/>
      </c>
      <c r="I383" s="8">
        <f>IF(OR($G383="",$A383=""),"",IFERROR(INDEX(SAN_PHAM!$L$5:$L$26,MATCH($G383,SAN_PHAM!$A$5:$A$26,0))&amp;"?sub_id=ChiGiang-"&amp;SUBSTITUTE($A383,"-","")&amp;"-FBReels-SP"&amp;TEXT($G383,"00"),""))</f>
        <v/>
      </c>
      <c r="J383" s="8">
        <f>IF($G383="","",IFERROR(INDEX(SAN_PHAM!$N$5:$N$26,MATCH($G383,SAN_PHAM!$A$5:$A$26,0)),""))</f>
        <v/>
      </c>
      <c r="K383" s="7" t="n"/>
      <c r="L383" s="7" t="n"/>
      <c r="M383" s="26" t="n"/>
      <c r="N383" s="42" t="n"/>
      <c r="O383" s="26" t="n"/>
      <c r="P383" s="7" t="n"/>
      <c r="Q383" s="43" t="n"/>
      <c r="R383" s="43" t="n"/>
      <c r="S383" s="43" t="n"/>
      <c r="T383" s="7" t="n"/>
    </row>
    <row r="384">
      <c r="A384" s="26" t="n"/>
      <c r="B384" s="26" t="n"/>
      <c r="C384" s="7" t="n"/>
      <c r="D384" s="7" t="n"/>
      <c r="E384" s="7" t="n"/>
      <c r="F384" s="7" t="n"/>
      <c r="G384" s="26" t="n"/>
      <c r="H384" s="8">
        <f>IF($G384="","",IFERROR(INDEX(SAN_PHAM!$D$5:$D$26,MATCH($G384,SAN_PHAM!$A$5:$A$26,0)),"Sai mã SP"))</f>
        <v/>
      </c>
      <c r="I384" s="8">
        <f>IF(OR($G384="",$A384=""),"",IFERROR(INDEX(SAN_PHAM!$L$5:$L$26,MATCH($G384,SAN_PHAM!$A$5:$A$26,0))&amp;"?sub_id=ChiGiang-"&amp;SUBSTITUTE($A384,"-","")&amp;"-FBReels-SP"&amp;TEXT($G384,"00"),""))</f>
        <v/>
      </c>
      <c r="J384" s="8">
        <f>IF($G384="","",IFERROR(INDEX(SAN_PHAM!$N$5:$N$26,MATCH($G384,SAN_PHAM!$A$5:$A$26,0)),""))</f>
        <v/>
      </c>
      <c r="K384" s="7" t="n"/>
      <c r="L384" s="7" t="n"/>
      <c r="M384" s="26" t="n"/>
      <c r="N384" s="42" t="n"/>
      <c r="O384" s="26" t="n"/>
      <c r="P384" s="7" t="n"/>
      <c r="Q384" s="43" t="n"/>
      <c r="R384" s="43" t="n"/>
      <c r="S384" s="43" t="n"/>
      <c r="T384" s="7" t="n"/>
    </row>
    <row r="385">
      <c r="A385" s="26" t="n"/>
      <c r="B385" s="26" t="n"/>
      <c r="C385" s="7" t="n"/>
      <c r="D385" s="7" t="n"/>
      <c r="E385" s="7" t="n"/>
      <c r="F385" s="7" t="n"/>
      <c r="G385" s="26" t="n"/>
      <c r="H385" s="8">
        <f>IF($G385="","",IFERROR(INDEX(SAN_PHAM!$D$5:$D$26,MATCH($G385,SAN_PHAM!$A$5:$A$26,0)),"Sai mã SP"))</f>
        <v/>
      </c>
      <c r="I385" s="8">
        <f>IF(OR($G385="",$A385=""),"",IFERROR(INDEX(SAN_PHAM!$L$5:$L$26,MATCH($G385,SAN_PHAM!$A$5:$A$26,0))&amp;"?sub_id=ChiGiang-"&amp;SUBSTITUTE($A385,"-","")&amp;"-FBReels-SP"&amp;TEXT($G385,"00"),""))</f>
        <v/>
      </c>
      <c r="J385" s="8">
        <f>IF($G385="","",IFERROR(INDEX(SAN_PHAM!$N$5:$N$26,MATCH($G385,SAN_PHAM!$A$5:$A$26,0)),""))</f>
        <v/>
      </c>
      <c r="K385" s="7" t="n"/>
      <c r="L385" s="7" t="n"/>
      <c r="M385" s="26" t="n"/>
      <c r="N385" s="42" t="n"/>
      <c r="O385" s="26" t="n"/>
      <c r="P385" s="7" t="n"/>
      <c r="Q385" s="43" t="n"/>
      <c r="R385" s="43" t="n"/>
      <c r="S385" s="43" t="n"/>
      <c r="T385" s="7" t="n"/>
    </row>
    <row r="386">
      <c r="A386" s="26" t="n"/>
      <c r="B386" s="26" t="n"/>
      <c r="C386" s="7" t="n"/>
      <c r="D386" s="7" t="n"/>
      <c r="E386" s="7" t="n"/>
      <c r="F386" s="7" t="n"/>
      <c r="G386" s="26" t="n"/>
      <c r="H386" s="8">
        <f>IF($G386="","",IFERROR(INDEX(SAN_PHAM!$D$5:$D$26,MATCH($G386,SAN_PHAM!$A$5:$A$26,0)),"Sai mã SP"))</f>
        <v/>
      </c>
      <c r="I386" s="8">
        <f>IF(OR($G386="",$A386=""),"",IFERROR(INDEX(SAN_PHAM!$L$5:$L$26,MATCH($G386,SAN_PHAM!$A$5:$A$26,0))&amp;"?sub_id=ChiGiang-"&amp;SUBSTITUTE($A386,"-","")&amp;"-FBReels-SP"&amp;TEXT($G386,"00"),""))</f>
        <v/>
      </c>
      <c r="J386" s="8">
        <f>IF($G386="","",IFERROR(INDEX(SAN_PHAM!$N$5:$N$26,MATCH($G386,SAN_PHAM!$A$5:$A$26,0)),""))</f>
        <v/>
      </c>
      <c r="K386" s="7" t="n"/>
      <c r="L386" s="7" t="n"/>
      <c r="M386" s="26" t="n"/>
      <c r="N386" s="42" t="n"/>
      <c r="O386" s="26" t="n"/>
      <c r="P386" s="7" t="n"/>
      <c r="Q386" s="43" t="n"/>
      <c r="R386" s="43" t="n"/>
      <c r="S386" s="43" t="n"/>
      <c r="T386" s="7" t="n"/>
    </row>
    <row r="387">
      <c r="A387" s="26" t="n"/>
      <c r="B387" s="26" t="n"/>
      <c r="C387" s="7" t="n"/>
      <c r="D387" s="7" t="n"/>
      <c r="E387" s="7" t="n"/>
      <c r="F387" s="7" t="n"/>
      <c r="G387" s="26" t="n"/>
      <c r="H387" s="8">
        <f>IF($G387="","",IFERROR(INDEX(SAN_PHAM!$D$5:$D$26,MATCH($G387,SAN_PHAM!$A$5:$A$26,0)),"Sai mã SP"))</f>
        <v/>
      </c>
      <c r="I387" s="8">
        <f>IF(OR($G387="",$A387=""),"",IFERROR(INDEX(SAN_PHAM!$L$5:$L$26,MATCH($G387,SAN_PHAM!$A$5:$A$26,0))&amp;"?sub_id=ChiGiang-"&amp;SUBSTITUTE($A387,"-","")&amp;"-FBReels-SP"&amp;TEXT($G387,"00"),""))</f>
        <v/>
      </c>
      <c r="J387" s="8">
        <f>IF($G387="","",IFERROR(INDEX(SAN_PHAM!$N$5:$N$26,MATCH($G387,SAN_PHAM!$A$5:$A$26,0)),""))</f>
        <v/>
      </c>
      <c r="K387" s="7" t="n"/>
      <c r="L387" s="7" t="n"/>
      <c r="M387" s="26" t="n"/>
      <c r="N387" s="42" t="n"/>
      <c r="O387" s="26" t="n"/>
      <c r="P387" s="7" t="n"/>
      <c r="Q387" s="43" t="n"/>
      <c r="R387" s="43" t="n"/>
      <c r="S387" s="43" t="n"/>
      <c r="T387" s="7" t="n"/>
    </row>
    <row r="388">
      <c r="A388" s="26" t="n"/>
      <c r="B388" s="26" t="n"/>
      <c r="C388" s="7" t="n"/>
      <c r="D388" s="7" t="n"/>
      <c r="E388" s="7" t="n"/>
      <c r="F388" s="7" t="n"/>
      <c r="G388" s="26" t="n"/>
      <c r="H388" s="8">
        <f>IF($G388="","",IFERROR(INDEX(SAN_PHAM!$D$5:$D$26,MATCH($G388,SAN_PHAM!$A$5:$A$26,0)),"Sai mã SP"))</f>
        <v/>
      </c>
      <c r="I388" s="8">
        <f>IF(OR($G388="",$A388=""),"",IFERROR(INDEX(SAN_PHAM!$L$5:$L$26,MATCH($G388,SAN_PHAM!$A$5:$A$26,0))&amp;"?sub_id=ChiGiang-"&amp;SUBSTITUTE($A388,"-","")&amp;"-FBReels-SP"&amp;TEXT($G388,"00"),""))</f>
        <v/>
      </c>
      <c r="J388" s="8">
        <f>IF($G388="","",IFERROR(INDEX(SAN_PHAM!$N$5:$N$26,MATCH($G388,SAN_PHAM!$A$5:$A$26,0)),""))</f>
        <v/>
      </c>
      <c r="K388" s="7" t="n"/>
      <c r="L388" s="7" t="n"/>
      <c r="M388" s="26" t="n"/>
      <c r="N388" s="42" t="n"/>
      <c r="O388" s="26" t="n"/>
      <c r="P388" s="7" t="n"/>
      <c r="Q388" s="43" t="n"/>
      <c r="R388" s="43" t="n"/>
      <c r="S388" s="43" t="n"/>
      <c r="T388" s="7" t="n"/>
    </row>
    <row r="389">
      <c r="A389" s="26" t="n"/>
      <c r="B389" s="26" t="n"/>
      <c r="C389" s="7" t="n"/>
      <c r="D389" s="7" t="n"/>
      <c r="E389" s="7" t="n"/>
      <c r="F389" s="7" t="n"/>
      <c r="G389" s="26" t="n"/>
      <c r="H389" s="8">
        <f>IF($G389="","",IFERROR(INDEX(SAN_PHAM!$D$5:$D$26,MATCH($G389,SAN_PHAM!$A$5:$A$26,0)),"Sai mã SP"))</f>
        <v/>
      </c>
      <c r="I389" s="8">
        <f>IF(OR($G389="",$A389=""),"",IFERROR(INDEX(SAN_PHAM!$L$5:$L$26,MATCH($G389,SAN_PHAM!$A$5:$A$26,0))&amp;"?sub_id=ChiGiang-"&amp;SUBSTITUTE($A389,"-","")&amp;"-FBReels-SP"&amp;TEXT($G389,"00"),""))</f>
        <v/>
      </c>
      <c r="J389" s="8">
        <f>IF($G389="","",IFERROR(INDEX(SAN_PHAM!$N$5:$N$26,MATCH($G389,SAN_PHAM!$A$5:$A$26,0)),""))</f>
        <v/>
      </c>
      <c r="K389" s="7" t="n"/>
      <c r="L389" s="7" t="n"/>
      <c r="M389" s="26" t="n"/>
      <c r="N389" s="42" t="n"/>
      <c r="O389" s="26" t="n"/>
      <c r="P389" s="7" t="n"/>
      <c r="Q389" s="43" t="n"/>
      <c r="R389" s="43" t="n"/>
      <c r="S389" s="43" t="n"/>
      <c r="T389" s="7" t="n"/>
    </row>
    <row r="390">
      <c r="A390" s="26" t="n"/>
      <c r="B390" s="26" t="n"/>
      <c r="C390" s="7" t="n"/>
      <c r="D390" s="7" t="n"/>
      <c r="E390" s="7" t="n"/>
      <c r="F390" s="7" t="n"/>
      <c r="G390" s="26" t="n"/>
      <c r="H390" s="8">
        <f>IF($G390="","",IFERROR(INDEX(SAN_PHAM!$D$5:$D$26,MATCH($G390,SAN_PHAM!$A$5:$A$26,0)),"Sai mã SP"))</f>
        <v/>
      </c>
      <c r="I390" s="8">
        <f>IF(OR($G390="",$A390=""),"",IFERROR(INDEX(SAN_PHAM!$L$5:$L$26,MATCH($G390,SAN_PHAM!$A$5:$A$26,0))&amp;"?sub_id=ChiGiang-"&amp;SUBSTITUTE($A390,"-","")&amp;"-FBReels-SP"&amp;TEXT($G390,"00"),""))</f>
        <v/>
      </c>
      <c r="J390" s="8">
        <f>IF($G390="","",IFERROR(INDEX(SAN_PHAM!$N$5:$N$26,MATCH($G390,SAN_PHAM!$A$5:$A$26,0)),""))</f>
        <v/>
      </c>
      <c r="K390" s="7" t="n"/>
      <c r="L390" s="7" t="n"/>
      <c r="M390" s="26" t="n"/>
      <c r="N390" s="42" t="n"/>
      <c r="O390" s="26" t="n"/>
      <c r="P390" s="7" t="n"/>
      <c r="Q390" s="43" t="n"/>
      <c r="R390" s="43" t="n"/>
      <c r="S390" s="43" t="n"/>
      <c r="T390" s="7" t="n"/>
    </row>
    <row r="391">
      <c r="A391" s="26" t="n"/>
      <c r="B391" s="26" t="n"/>
      <c r="C391" s="7" t="n"/>
      <c r="D391" s="7" t="n"/>
      <c r="E391" s="7" t="n"/>
      <c r="F391" s="7" t="n"/>
      <c r="G391" s="26" t="n"/>
      <c r="H391" s="8">
        <f>IF($G391="","",IFERROR(INDEX(SAN_PHAM!$D$5:$D$26,MATCH($G391,SAN_PHAM!$A$5:$A$26,0)),"Sai mã SP"))</f>
        <v/>
      </c>
      <c r="I391" s="8">
        <f>IF(OR($G391="",$A391=""),"",IFERROR(INDEX(SAN_PHAM!$L$5:$L$26,MATCH($G391,SAN_PHAM!$A$5:$A$26,0))&amp;"?sub_id=ChiGiang-"&amp;SUBSTITUTE($A391,"-","")&amp;"-FBReels-SP"&amp;TEXT($G391,"00"),""))</f>
        <v/>
      </c>
      <c r="J391" s="8">
        <f>IF($G391="","",IFERROR(INDEX(SAN_PHAM!$N$5:$N$26,MATCH($G391,SAN_PHAM!$A$5:$A$26,0)),""))</f>
        <v/>
      </c>
      <c r="K391" s="7" t="n"/>
      <c r="L391" s="7" t="n"/>
      <c r="M391" s="26" t="n"/>
      <c r="N391" s="42" t="n"/>
      <c r="O391" s="26" t="n"/>
      <c r="P391" s="7" t="n"/>
      <c r="Q391" s="43" t="n"/>
      <c r="R391" s="43" t="n"/>
      <c r="S391" s="43" t="n"/>
      <c r="T391" s="7" t="n"/>
    </row>
    <row r="392">
      <c r="A392" s="26" t="n"/>
      <c r="B392" s="26" t="n"/>
      <c r="C392" s="7" t="n"/>
      <c r="D392" s="7" t="n"/>
      <c r="E392" s="7" t="n"/>
      <c r="F392" s="7" t="n"/>
      <c r="G392" s="26" t="n"/>
      <c r="H392" s="8">
        <f>IF($G392="","",IFERROR(INDEX(SAN_PHAM!$D$5:$D$26,MATCH($G392,SAN_PHAM!$A$5:$A$26,0)),"Sai mã SP"))</f>
        <v/>
      </c>
      <c r="I392" s="8">
        <f>IF(OR($G392="",$A392=""),"",IFERROR(INDEX(SAN_PHAM!$L$5:$L$26,MATCH($G392,SAN_PHAM!$A$5:$A$26,0))&amp;"?sub_id=ChiGiang-"&amp;SUBSTITUTE($A392,"-","")&amp;"-FBReels-SP"&amp;TEXT($G392,"00"),""))</f>
        <v/>
      </c>
      <c r="J392" s="8">
        <f>IF($G392="","",IFERROR(INDEX(SAN_PHAM!$N$5:$N$26,MATCH($G392,SAN_PHAM!$A$5:$A$26,0)),""))</f>
        <v/>
      </c>
      <c r="K392" s="7" t="n"/>
      <c r="L392" s="7" t="n"/>
      <c r="M392" s="26" t="n"/>
      <c r="N392" s="42" t="n"/>
      <c r="O392" s="26" t="n"/>
      <c r="P392" s="7" t="n"/>
      <c r="Q392" s="43" t="n"/>
      <c r="R392" s="43" t="n"/>
      <c r="S392" s="43" t="n"/>
      <c r="T392" s="7" t="n"/>
    </row>
    <row r="393">
      <c r="A393" s="26" t="n"/>
      <c r="B393" s="26" t="n"/>
      <c r="C393" s="7" t="n"/>
      <c r="D393" s="7" t="n"/>
      <c r="E393" s="7" t="n"/>
      <c r="F393" s="7" t="n"/>
      <c r="G393" s="26" t="n"/>
      <c r="H393" s="8">
        <f>IF($G393="","",IFERROR(INDEX(SAN_PHAM!$D$5:$D$26,MATCH($G393,SAN_PHAM!$A$5:$A$26,0)),"Sai mã SP"))</f>
        <v/>
      </c>
      <c r="I393" s="8">
        <f>IF(OR($G393="",$A393=""),"",IFERROR(INDEX(SAN_PHAM!$L$5:$L$26,MATCH($G393,SAN_PHAM!$A$5:$A$26,0))&amp;"?sub_id=ChiGiang-"&amp;SUBSTITUTE($A393,"-","")&amp;"-FBReels-SP"&amp;TEXT($G393,"00"),""))</f>
        <v/>
      </c>
      <c r="J393" s="8">
        <f>IF($G393="","",IFERROR(INDEX(SAN_PHAM!$N$5:$N$26,MATCH($G393,SAN_PHAM!$A$5:$A$26,0)),""))</f>
        <v/>
      </c>
      <c r="K393" s="7" t="n"/>
      <c r="L393" s="7" t="n"/>
      <c r="M393" s="26" t="n"/>
      <c r="N393" s="42" t="n"/>
      <c r="O393" s="26" t="n"/>
      <c r="P393" s="7" t="n"/>
      <c r="Q393" s="43" t="n"/>
      <c r="R393" s="43" t="n"/>
      <c r="S393" s="43" t="n"/>
      <c r="T393" s="7" t="n"/>
    </row>
    <row r="394">
      <c r="A394" s="26" t="n"/>
      <c r="B394" s="26" t="n"/>
      <c r="C394" s="7" t="n"/>
      <c r="D394" s="7" t="n"/>
      <c r="E394" s="7" t="n"/>
      <c r="F394" s="7" t="n"/>
      <c r="G394" s="26" t="n"/>
      <c r="H394" s="8">
        <f>IF($G394="","",IFERROR(INDEX(SAN_PHAM!$D$5:$D$26,MATCH($G394,SAN_PHAM!$A$5:$A$26,0)),"Sai mã SP"))</f>
        <v/>
      </c>
      <c r="I394" s="8">
        <f>IF(OR($G394="",$A394=""),"",IFERROR(INDEX(SAN_PHAM!$L$5:$L$26,MATCH($G394,SAN_PHAM!$A$5:$A$26,0))&amp;"?sub_id=ChiGiang-"&amp;SUBSTITUTE($A394,"-","")&amp;"-FBReels-SP"&amp;TEXT($G394,"00"),""))</f>
        <v/>
      </c>
      <c r="J394" s="8">
        <f>IF($G394="","",IFERROR(INDEX(SAN_PHAM!$N$5:$N$26,MATCH($G394,SAN_PHAM!$A$5:$A$26,0)),""))</f>
        <v/>
      </c>
      <c r="K394" s="7" t="n"/>
      <c r="L394" s="7" t="n"/>
      <c r="M394" s="26" t="n"/>
      <c r="N394" s="42" t="n"/>
      <c r="O394" s="26" t="n"/>
      <c r="P394" s="7" t="n"/>
      <c r="Q394" s="43" t="n"/>
      <c r="R394" s="43" t="n"/>
      <c r="S394" s="43" t="n"/>
      <c r="T394" s="7" t="n"/>
    </row>
    <row r="395">
      <c r="A395" s="26" t="n"/>
      <c r="B395" s="26" t="n"/>
      <c r="C395" s="7" t="n"/>
      <c r="D395" s="7" t="n"/>
      <c r="E395" s="7" t="n"/>
      <c r="F395" s="7" t="n"/>
      <c r="G395" s="26" t="n"/>
      <c r="H395" s="8">
        <f>IF($G395="","",IFERROR(INDEX(SAN_PHAM!$D$5:$D$26,MATCH($G395,SAN_PHAM!$A$5:$A$26,0)),"Sai mã SP"))</f>
        <v/>
      </c>
      <c r="I395" s="8">
        <f>IF(OR($G395="",$A395=""),"",IFERROR(INDEX(SAN_PHAM!$L$5:$L$26,MATCH($G395,SAN_PHAM!$A$5:$A$26,0))&amp;"?sub_id=ChiGiang-"&amp;SUBSTITUTE($A395,"-","")&amp;"-FBReels-SP"&amp;TEXT($G395,"00"),""))</f>
        <v/>
      </c>
      <c r="J395" s="8">
        <f>IF($G395="","",IFERROR(INDEX(SAN_PHAM!$N$5:$N$26,MATCH($G395,SAN_PHAM!$A$5:$A$26,0)),""))</f>
        <v/>
      </c>
      <c r="K395" s="7" t="n"/>
      <c r="L395" s="7" t="n"/>
      <c r="M395" s="26" t="n"/>
      <c r="N395" s="42" t="n"/>
      <c r="O395" s="26" t="n"/>
      <c r="P395" s="7" t="n"/>
      <c r="Q395" s="43" t="n"/>
      <c r="R395" s="43" t="n"/>
      <c r="S395" s="43" t="n"/>
      <c r="T395" s="7" t="n"/>
    </row>
    <row r="396">
      <c r="A396" s="26" t="n"/>
      <c r="B396" s="26" t="n"/>
      <c r="C396" s="7" t="n"/>
      <c r="D396" s="7" t="n"/>
      <c r="E396" s="7" t="n"/>
      <c r="F396" s="7" t="n"/>
      <c r="G396" s="26" t="n"/>
      <c r="H396" s="8">
        <f>IF($G396="","",IFERROR(INDEX(SAN_PHAM!$D$5:$D$26,MATCH($G396,SAN_PHAM!$A$5:$A$26,0)),"Sai mã SP"))</f>
        <v/>
      </c>
      <c r="I396" s="8">
        <f>IF(OR($G396="",$A396=""),"",IFERROR(INDEX(SAN_PHAM!$L$5:$L$26,MATCH($G396,SAN_PHAM!$A$5:$A$26,0))&amp;"?sub_id=ChiGiang-"&amp;SUBSTITUTE($A396,"-","")&amp;"-FBReels-SP"&amp;TEXT($G396,"00"),""))</f>
        <v/>
      </c>
      <c r="J396" s="8">
        <f>IF($G396="","",IFERROR(INDEX(SAN_PHAM!$N$5:$N$26,MATCH($G396,SAN_PHAM!$A$5:$A$26,0)),""))</f>
        <v/>
      </c>
      <c r="K396" s="7" t="n"/>
      <c r="L396" s="7" t="n"/>
      <c r="M396" s="26" t="n"/>
      <c r="N396" s="42" t="n"/>
      <c r="O396" s="26" t="n"/>
      <c r="P396" s="7" t="n"/>
      <c r="Q396" s="43" t="n"/>
      <c r="R396" s="43" t="n"/>
      <c r="S396" s="43" t="n"/>
      <c r="T396" s="7" t="n"/>
    </row>
    <row r="397">
      <c r="A397" s="26" t="n"/>
      <c r="B397" s="26" t="n"/>
      <c r="C397" s="7" t="n"/>
      <c r="D397" s="7" t="n"/>
      <c r="E397" s="7" t="n"/>
      <c r="F397" s="7" t="n"/>
      <c r="G397" s="26" t="n"/>
      <c r="H397" s="8">
        <f>IF($G397="","",IFERROR(INDEX(SAN_PHAM!$D$5:$D$26,MATCH($G397,SAN_PHAM!$A$5:$A$26,0)),"Sai mã SP"))</f>
        <v/>
      </c>
      <c r="I397" s="8">
        <f>IF(OR($G397="",$A397=""),"",IFERROR(INDEX(SAN_PHAM!$L$5:$L$26,MATCH($G397,SAN_PHAM!$A$5:$A$26,0))&amp;"?sub_id=ChiGiang-"&amp;SUBSTITUTE($A397,"-","")&amp;"-FBReels-SP"&amp;TEXT($G397,"00"),""))</f>
        <v/>
      </c>
      <c r="J397" s="8">
        <f>IF($G397="","",IFERROR(INDEX(SAN_PHAM!$N$5:$N$26,MATCH($G397,SAN_PHAM!$A$5:$A$26,0)),""))</f>
        <v/>
      </c>
      <c r="K397" s="7" t="n"/>
      <c r="L397" s="7" t="n"/>
      <c r="M397" s="26" t="n"/>
      <c r="N397" s="42" t="n"/>
      <c r="O397" s="26" t="n"/>
      <c r="P397" s="7" t="n"/>
      <c r="Q397" s="43" t="n"/>
      <c r="R397" s="43" t="n"/>
      <c r="S397" s="43" t="n"/>
      <c r="T397" s="7" t="n"/>
    </row>
    <row r="398">
      <c r="A398" s="26" t="n"/>
      <c r="B398" s="26" t="n"/>
      <c r="C398" s="7" t="n"/>
      <c r="D398" s="7" t="n"/>
      <c r="E398" s="7" t="n"/>
      <c r="F398" s="7" t="n"/>
      <c r="G398" s="26" t="n"/>
      <c r="H398" s="8">
        <f>IF($G398="","",IFERROR(INDEX(SAN_PHAM!$D$5:$D$26,MATCH($G398,SAN_PHAM!$A$5:$A$26,0)),"Sai mã SP"))</f>
        <v/>
      </c>
      <c r="I398" s="8">
        <f>IF(OR($G398="",$A398=""),"",IFERROR(INDEX(SAN_PHAM!$L$5:$L$26,MATCH($G398,SAN_PHAM!$A$5:$A$26,0))&amp;"?sub_id=ChiGiang-"&amp;SUBSTITUTE($A398,"-","")&amp;"-FBReels-SP"&amp;TEXT($G398,"00"),""))</f>
        <v/>
      </c>
      <c r="J398" s="8">
        <f>IF($G398="","",IFERROR(INDEX(SAN_PHAM!$N$5:$N$26,MATCH($G398,SAN_PHAM!$A$5:$A$26,0)),""))</f>
        <v/>
      </c>
      <c r="K398" s="7" t="n"/>
      <c r="L398" s="7" t="n"/>
      <c r="M398" s="26" t="n"/>
      <c r="N398" s="42" t="n"/>
      <c r="O398" s="26" t="n"/>
      <c r="P398" s="7" t="n"/>
      <c r="Q398" s="43" t="n"/>
      <c r="R398" s="43" t="n"/>
      <c r="S398" s="43" t="n"/>
      <c r="T398" s="7" t="n"/>
    </row>
    <row r="399">
      <c r="A399" s="26" t="n"/>
      <c r="B399" s="26" t="n"/>
      <c r="C399" s="7" t="n"/>
      <c r="D399" s="7" t="n"/>
      <c r="E399" s="7" t="n"/>
      <c r="F399" s="7" t="n"/>
      <c r="G399" s="26" t="n"/>
      <c r="H399" s="8">
        <f>IF($G399="","",IFERROR(INDEX(SAN_PHAM!$D$5:$D$26,MATCH($G399,SAN_PHAM!$A$5:$A$26,0)),"Sai mã SP"))</f>
        <v/>
      </c>
      <c r="I399" s="8">
        <f>IF(OR($G399="",$A399=""),"",IFERROR(INDEX(SAN_PHAM!$L$5:$L$26,MATCH($G399,SAN_PHAM!$A$5:$A$26,0))&amp;"?sub_id=ChiGiang-"&amp;SUBSTITUTE($A399,"-","")&amp;"-FBReels-SP"&amp;TEXT($G399,"00"),""))</f>
        <v/>
      </c>
      <c r="J399" s="8">
        <f>IF($G399="","",IFERROR(INDEX(SAN_PHAM!$N$5:$N$26,MATCH($G399,SAN_PHAM!$A$5:$A$26,0)),""))</f>
        <v/>
      </c>
      <c r="K399" s="7" t="n"/>
      <c r="L399" s="7" t="n"/>
      <c r="M399" s="26" t="n"/>
      <c r="N399" s="42" t="n"/>
      <c r="O399" s="26" t="n"/>
      <c r="P399" s="7" t="n"/>
      <c r="Q399" s="43" t="n"/>
      <c r="R399" s="43" t="n"/>
      <c r="S399" s="43" t="n"/>
      <c r="T399" s="7" t="n"/>
    </row>
    <row r="400">
      <c r="A400" s="26" t="n"/>
      <c r="B400" s="26" t="n"/>
      <c r="C400" s="7" t="n"/>
      <c r="D400" s="7" t="n"/>
      <c r="E400" s="7" t="n"/>
      <c r="F400" s="7" t="n"/>
      <c r="G400" s="26" t="n"/>
      <c r="H400" s="8">
        <f>IF($G400="","",IFERROR(INDEX(SAN_PHAM!$D$5:$D$26,MATCH($G400,SAN_PHAM!$A$5:$A$26,0)),"Sai mã SP"))</f>
        <v/>
      </c>
      <c r="I400" s="8">
        <f>IF(OR($G400="",$A400=""),"",IFERROR(INDEX(SAN_PHAM!$L$5:$L$26,MATCH($G400,SAN_PHAM!$A$5:$A$26,0))&amp;"?sub_id=ChiGiang-"&amp;SUBSTITUTE($A400,"-","")&amp;"-FBReels-SP"&amp;TEXT($G400,"00"),""))</f>
        <v/>
      </c>
      <c r="J400" s="8">
        <f>IF($G400="","",IFERROR(INDEX(SAN_PHAM!$N$5:$N$26,MATCH($G400,SAN_PHAM!$A$5:$A$26,0)),""))</f>
        <v/>
      </c>
      <c r="K400" s="7" t="n"/>
      <c r="L400" s="7" t="n"/>
      <c r="M400" s="26" t="n"/>
      <c r="N400" s="42" t="n"/>
      <c r="O400" s="26" t="n"/>
      <c r="P400" s="7" t="n"/>
      <c r="Q400" s="43" t="n"/>
      <c r="R400" s="43" t="n"/>
      <c r="S400" s="43" t="n"/>
      <c r="T400" s="7" t="n"/>
    </row>
    <row r="401">
      <c r="A401" s="26" t="n"/>
      <c r="B401" s="26" t="n"/>
      <c r="C401" s="7" t="n"/>
      <c r="D401" s="7" t="n"/>
      <c r="E401" s="7" t="n"/>
      <c r="F401" s="7" t="n"/>
      <c r="G401" s="26" t="n"/>
      <c r="H401" s="8">
        <f>IF($G401="","",IFERROR(INDEX(SAN_PHAM!$D$5:$D$26,MATCH($G401,SAN_PHAM!$A$5:$A$26,0)),"Sai mã SP"))</f>
        <v/>
      </c>
      <c r="I401" s="8">
        <f>IF(OR($G401="",$A401=""),"",IFERROR(INDEX(SAN_PHAM!$L$5:$L$26,MATCH($G401,SAN_PHAM!$A$5:$A$26,0))&amp;"?sub_id=ChiGiang-"&amp;SUBSTITUTE($A401,"-","")&amp;"-FBReels-SP"&amp;TEXT($G401,"00"),""))</f>
        <v/>
      </c>
      <c r="J401" s="8">
        <f>IF($G401="","",IFERROR(INDEX(SAN_PHAM!$N$5:$N$26,MATCH($G401,SAN_PHAM!$A$5:$A$26,0)),""))</f>
        <v/>
      </c>
      <c r="K401" s="7" t="n"/>
      <c r="L401" s="7" t="n"/>
      <c r="M401" s="26" t="n"/>
      <c r="N401" s="42" t="n"/>
      <c r="O401" s="26" t="n"/>
      <c r="P401" s="7" t="n"/>
      <c r="Q401" s="43" t="n"/>
      <c r="R401" s="43" t="n"/>
      <c r="S401" s="43" t="n"/>
      <c r="T401" s="7" t="n"/>
    </row>
    <row r="402">
      <c r="A402" s="26" t="n"/>
      <c r="B402" s="26" t="n"/>
      <c r="C402" s="7" t="n"/>
      <c r="D402" s="7" t="n"/>
      <c r="E402" s="7" t="n"/>
      <c r="F402" s="7" t="n"/>
      <c r="G402" s="26" t="n"/>
      <c r="H402" s="8">
        <f>IF($G402="","",IFERROR(INDEX(SAN_PHAM!$D$5:$D$26,MATCH($G402,SAN_PHAM!$A$5:$A$26,0)),"Sai mã SP"))</f>
        <v/>
      </c>
      <c r="I402" s="8">
        <f>IF(OR($G402="",$A402=""),"",IFERROR(INDEX(SAN_PHAM!$L$5:$L$26,MATCH($G402,SAN_PHAM!$A$5:$A$26,0))&amp;"?sub_id=ChiGiang-"&amp;SUBSTITUTE($A402,"-","")&amp;"-FBReels-SP"&amp;TEXT($G402,"00"),""))</f>
        <v/>
      </c>
      <c r="J402" s="8">
        <f>IF($G402="","",IFERROR(INDEX(SAN_PHAM!$N$5:$N$26,MATCH($G402,SAN_PHAM!$A$5:$A$26,0)),""))</f>
        <v/>
      </c>
      <c r="K402" s="7" t="n"/>
      <c r="L402" s="7" t="n"/>
      <c r="M402" s="26" t="n"/>
      <c r="N402" s="42" t="n"/>
      <c r="O402" s="26" t="n"/>
      <c r="P402" s="7" t="n"/>
      <c r="Q402" s="43" t="n"/>
      <c r="R402" s="43" t="n"/>
      <c r="S402" s="43" t="n"/>
      <c r="T402" s="7" t="n"/>
    </row>
    <row r="403">
      <c r="A403" s="26" t="n"/>
      <c r="B403" s="26" t="n"/>
      <c r="C403" s="7" t="n"/>
      <c r="D403" s="7" t="n"/>
      <c r="E403" s="7" t="n"/>
      <c r="F403" s="7" t="n"/>
      <c r="G403" s="26" t="n"/>
      <c r="H403" s="8">
        <f>IF($G403="","",IFERROR(INDEX(SAN_PHAM!$D$5:$D$26,MATCH($G403,SAN_PHAM!$A$5:$A$26,0)),"Sai mã SP"))</f>
        <v/>
      </c>
      <c r="I403" s="8">
        <f>IF(OR($G403="",$A403=""),"",IFERROR(INDEX(SAN_PHAM!$L$5:$L$26,MATCH($G403,SAN_PHAM!$A$5:$A$26,0))&amp;"?sub_id=ChiGiang-"&amp;SUBSTITUTE($A403,"-","")&amp;"-FBReels-SP"&amp;TEXT($G403,"00"),""))</f>
        <v/>
      </c>
      <c r="J403" s="8">
        <f>IF($G403="","",IFERROR(INDEX(SAN_PHAM!$N$5:$N$26,MATCH($G403,SAN_PHAM!$A$5:$A$26,0)),""))</f>
        <v/>
      </c>
      <c r="K403" s="7" t="n"/>
      <c r="L403" s="7" t="n"/>
      <c r="M403" s="26" t="n"/>
      <c r="N403" s="42" t="n"/>
      <c r="O403" s="26" t="n"/>
      <c r="P403" s="7" t="n"/>
      <c r="Q403" s="43" t="n"/>
      <c r="R403" s="43" t="n"/>
      <c r="S403" s="43" t="n"/>
      <c r="T403" s="7" t="n"/>
    </row>
    <row r="404">
      <c r="A404" s="26" t="n"/>
      <c r="B404" s="26" t="n"/>
      <c r="C404" s="7" t="n"/>
      <c r="D404" s="7" t="n"/>
      <c r="E404" s="7" t="n"/>
      <c r="F404" s="7" t="n"/>
      <c r="G404" s="26" t="n"/>
      <c r="H404" s="8">
        <f>IF($G404="","",IFERROR(INDEX(SAN_PHAM!$D$5:$D$26,MATCH($G404,SAN_PHAM!$A$5:$A$26,0)),"Sai mã SP"))</f>
        <v/>
      </c>
      <c r="I404" s="8">
        <f>IF(OR($G404="",$A404=""),"",IFERROR(INDEX(SAN_PHAM!$L$5:$L$26,MATCH($G404,SAN_PHAM!$A$5:$A$26,0))&amp;"?sub_id=ChiGiang-"&amp;SUBSTITUTE($A404,"-","")&amp;"-FBReels-SP"&amp;TEXT($G404,"00"),""))</f>
        <v/>
      </c>
      <c r="J404" s="8">
        <f>IF($G404="","",IFERROR(INDEX(SAN_PHAM!$N$5:$N$26,MATCH($G404,SAN_PHAM!$A$5:$A$26,0)),""))</f>
        <v/>
      </c>
      <c r="K404" s="7" t="n"/>
      <c r="L404" s="7" t="n"/>
      <c r="M404" s="26" t="n"/>
      <c r="N404" s="42" t="n"/>
      <c r="O404" s="26" t="n"/>
      <c r="P404" s="7" t="n"/>
      <c r="Q404" s="43" t="n"/>
      <c r="R404" s="43" t="n"/>
      <c r="S404" s="43" t="n"/>
      <c r="T404" s="7" t="n"/>
    </row>
  </sheetData>
  <autoFilter ref="A4:T404"/>
  <conditionalFormatting sqref="M5:M404">
    <cfRule type="cellIs" priority="1" operator="equal" dxfId="3">
      <formula>"Chờ duyệt"</formula>
    </cfRule>
    <cfRule type="cellIs" priority="2" operator="equal" dxfId="4">
      <formula>"Cần sửa"</formula>
    </cfRule>
    <cfRule type="cellIs" priority="3" operator="equal" dxfId="5">
      <formula>"Đã duyệt"</formula>
    </cfRule>
    <cfRule type="cellIs" priority="4" operator="equal" dxfId="6">
      <formula>"Đang sản xuất"</formula>
    </cfRule>
    <cfRule type="cellIs" priority="5" operator="equal" dxfId="7">
      <formula>"QC"</formula>
    </cfRule>
    <cfRule type="cellIs" priority="6" operator="equal" dxfId="8">
      <formula>"Sẵn sàng đăng"</formula>
    </cfRule>
    <cfRule type="cellIs" priority="7" operator="equal" dxfId="2">
      <formula>"Đã đăng"</formula>
    </cfRule>
    <cfRule type="cellIs" priority="8" operator="equal" dxfId="9">
      <formula>"Hủy"</formula>
    </cfRule>
  </conditionalFormatting>
  <dataValidations count="4">
    <dataValidation sqref="M5:M404" showDropDown="0" showInputMessage="0" showErrorMessage="0" allowBlank="1" type="list">
      <formula1>"Ý tưởng,Đang viết,Chờ duyệt,Cần sửa,Đã duyệt,Đang sản xuất,QC,Sẵn sàng đăng,Đã đăng,Hủy"</formula1>
    </dataValidation>
    <dataValidation sqref="C5:C404" showDropDown="0" showInputMessage="0" showErrorMessage="0" allowBlank="1" type="list">
      <formula1>"Hỏi đáp,Hỏi đáp gắn SP,Review sản phẩm,Tình huống vợ chồng,Từ bình luận"</formula1>
    </dataValidation>
    <dataValidation sqref="B5:B404" showDropDown="0" showInputMessage="0" showErrorMessage="0" allowBlank="1" type="list">
      <formula1>"T1,T2,T3,T4,T5"</formula1>
    </dataValidation>
    <dataValidation sqref="O5:O404" showDropDown="0" showInputMessage="0" showErrorMessage="0" allowBlank="1" type="list">
      <formula1>"05:45,07:30,11:30,13:00,17:30,20:00,21:30,22:45"</formula1>
    </dataValidation>
  </dataValidations>
  <pageMargins left="0.75" right="0.75" top="1" bottom="1" header="0.5" footer="0.5"/>
</worksheet>
</file>

<file path=xl/worksheets/sheet10.xml><?xml version="1.0" encoding="utf-8"?>
<worksheet xmlns="http://schemas.openxmlformats.org/spreadsheetml/2006/main">
  <sheetPr>
    <tabColor rgb="007C3AED"/>
    <outlinePr summaryBelow="1" summaryRight="1"/>
    <pageSetUpPr/>
  </sheetPr>
  <dimension ref="A1:M30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6" customWidth="1" min="3" max="3"/>
    <col width="11" customWidth="1" min="4" max="4"/>
    <col width="22" customWidth="1" min="5" max="5"/>
    <col width="16" customWidth="1" min="6" max="6"/>
    <col width="12" customWidth="1" min="7" max="7"/>
    <col width="46" customWidth="1" min="8" max="8"/>
    <col width="10" customWidth="1" min="9" max="9"/>
    <col width="40" customWidth="1" min="10" max="10"/>
    <col width="12" customWidth="1" min="11" max="11"/>
    <col width="14" customWidth="1" min="12" max="12"/>
    <col width="16" customWidth="1" min="13" max="13"/>
  </cols>
  <sheetData>
    <row r="1">
      <c r="A1" s="1" t="inlineStr">
        <is>
          <t>NGUỒN CONTENT – HỌC TỪ FACEBOOK, TIKTOK</t>
        </is>
      </c>
    </row>
    <row r="2">
      <c r="A2" s="2" t="inlineStr">
        <is>
          <t>Dán link video/kênh hay, ghi “Học được gì”. Cột Nền tảng tự nhận. R1 lọc mỗi thứ Sáu: nguồn “Mới” → phân tích → chuyển ý tưởng sang KHO_KICH_BAN. Xem video ngay: tab Nguồn content trong file HTML.</t>
        </is>
      </c>
    </row>
    <row r="4" ht="30" customHeight="1">
      <c r="A4" s="13" t="inlineStr">
        <is>
          <t>ID</t>
        </is>
      </c>
      <c r="B4" s="13" t="inlineStr">
        <is>
          <t>Ngày thêm</t>
        </is>
      </c>
      <c r="C4" s="13" t="inlineStr">
        <is>
          <t>Link</t>
        </is>
      </c>
      <c r="D4" s="13" t="inlineStr">
        <is>
          <t>Nền tảng</t>
        </is>
      </c>
      <c r="E4" s="13" t="inlineStr">
        <is>
          <t>Kênh / tác giả</t>
        </is>
      </c>
      <c r="F4" s="13" t="inlineStr">
        <is>
          <t>Loại</t>
        </is>
      </c>
      <c r="G4" s="13" t="inlineStr">
        <is>
          <t>View</t>
        </is>
      </c>
      <c r="H4" s="13" t="inlineStr">
        <is>
          <t>Học được gì (hook, cấu trúc, câu hỏi…)</t>
        </is>
      </c>
      <c r="I4" s="13" t="inlineStr">
        <is>
          <t>Áp dụng cho</t>
        </is>
      </c>
      <c r="J4" s="13" t="inlineStr">
        <is>
          <t>Ý tưởng chuyển thể</t>
        </is>
      </c>
      <c r="K4" s="13" t="inlineStr">
        <is>
          <t>ID kịch bản</t>
        </is>
      </c>
      <c r="L4" s="13" t="inlineStr">
        <is>
          <t>Người thêm</t>
        </is>
      </c>
      <c r="M4" s="13" t="inlineStr">
        <is>
          <t>Trạng thái</t>
        </is>
      </c>
    </row>
    <row r="5">
      <c r="A5" s="26" t="n"/>
      <c r="B5" s="42" t="n"/>
      <c r="C5" s="7" t="n"/>
      <c r="D5" s="23">
        <f>IF(C5="","",IF(ISNUMBER(SEARCH("tiktok",C5)),"TikTok",IF(OR(ISNUMBER(SEARCH("facebook",C5)),ISNUMBER(SEARCH("fb.watch",C5))),"Facebook",IF(OR(ISNUMBER(SEARCH("youtube",C5)),ISNUMBER(SEARCH("youtu.be",C5))),"YouTube",IF(ISNUMBER(SEARCH("instagram",C5)),"Instagram","Khác")))))</f>
        <v/>
      </c>
      <c r="E5" s="7" t="n"/>
      <c r="F5" s="7" t="n"/>
      <c r="G5" s="43" t="n"/>
      <c r="H5" s="7" t="n"/>
      <c r="I5" s="26" t="n"/>
      <c r="J5" s="7" t="n"/>
      <c r="K5" s="26" t="n"/>
      <c r="L5" s="7" t="n"/>
      <c r="M5" s="26" t="n"/>
    </row>
    <row r="6">
      <c r="A6" s="26" t="n"/>
      <c r="B6" s="42" t="n"/>
      <c r="C6" s="7" t="n"/>
      <c r="D6" s="23">
        <f>IF(C6="","",IF(ISNUMBER(SEARCH("tiktok",C6)),"TikTok",IF(OR(ISNUMBER(SEARCH("facebook",C6)),ISNUMBER(SEARCH("fb.watch",C6))),"Facebook",IF(OR(ISNUMBER(SEARCH("youtube",C6)),ISNUMBER(SEARCH("youtu.be",C6))),"YouTube",IF(ISNUMBER(SEARCH("instagram",C6)),"Instagram","Khác")))))</f>
        <v/>
      </c>
      <c r="E6" s="7" t="n"/>
      <c r="F6" s="7" t="n"/>
      <c r="G6" s="43" t="n"/>
      <c r="H6" s="7" t="n"/>
      <c r="I6" s="26" t="n"/>
      <c r="J6" s="7" t="n"/>
      <c r="K6" s="26" t="n"/>
      <c r="L6" s="7" t="n"/>
      <c r="M6" s="26" t="n"/>
    </row>
    <row r="7">
      <c r="A7" s="26" t="n"/>
      <c r="B7" s="42" t="n"/>
      <c r="C7" s="7" t="n"/>
      <c r="D7" s="23">
        <f>IF(C7="","",IF(ISNUMBER(SEARCH("tiktok",C7)),"TikTok",IF(OR(ISNUMBER(SEARCH("facebook",C7)),ISNUMBER(SEARCH("fb.watch",C7))),"Facebook",IF(OR(ISNUMBER(SEARCH("youtube",C7)),ISNUMBER(SEARCH("youtu.be",C7))),"YouTube",IF(ISNUMBER(SEARCH("instagram",C7)),"Instagram","Khác")))))</f>
        <v/>
      </c>
      <c r="E7" s="7" t="n"/>
      <c r="F7" s="7" t="n"/>
      <c r="G7" s="43" t="n"/>
      <c r="H7" s="7" t="n"/>
      <c r="I7" s="26" t="n"/>
      <c r="J7" s="7" t="n"/>
      <c r="K7" s="26" t="n"/>
      <c r="L7" s="7" t="n"/>
      <c r="M7" s="26" t="n"/>
    </row>
    <row r="8">
      <c r="A8" s="26" t="n"/>
      <c r="B8" s="42" t="n"/>
      <c r="C8" s="7" t="n"/>
      <c r="D8" s="23">
        <f>IF(C8="","",IF(ISNUMBER(SEARCH("tiktok",C8)),"TikTok",IF(OR(ISNUMBER(SEARCH("facebook",C8)),ISNUMBER(SEARCH("fb.watch",C8))),"Facebook",IF(OR(ISNUMBER(SEARCH("youtube",C8)),ISNUMBER(SEARCH("youtu.be",C8))),"YouTube",IF(ISNUMBER(SEARCH("instagram",C8)),"Instagram","Khác")))))</f>
        <v/>
      </c>
      <c r="E8" s="7" t="n"/>
      <c r="F8" s="7" t="n"/>
      <c r="G8" s="43" t="n"/>
      <c r="H8" s="7" t="n"/>
      <c r="I8" s="26" t="n"/>
      <c r="J8" s="7" t="n"/>
      <c r="K8" s="26" t="n"/>
      <c r="L8" s="7" t="n"/>
      <c r="M8" s="26" t="n"/>
    </row>
    <row r="9">
      <c r="A9" s="26" t="n"/>
      <c r="B9" s="42" t="n"/>
      <c r="C9" s="7" t="n"/>
      <c r="D9" s="23">
        <f>IF(C9="","",IF(ISNUMBER(SEARCH("tiktok",C9)),"TikTok",IF(OR(ISNUMBER(SEARCH("facebook",C9)),ISNUMBER(SEARCH("fb.watch",C9))),"Facebook",IF(OR(ISNUMBER(SEARCH("youtube",C9)),ISNUMBER(SEARCH("youtu.be",C9))),"YouTube",IF(ISNUMBER(SEARCH("instagram",C9)),"Instagram","Khác")))))</f>
        <v/>
      </c>
      <c r="E9" s="7" t="n"/>
      <c r="F9" s="7" t="n"/>
      <c r="G9" s="43" t="n"/>
      <c r="H9" s="7" t="n"/>
      <c r="I9" s="26" t="n"/>
      <c r="J9" s="7" t="n"/>
      <c r="K9" s="26" t="n"/>
      <c r="L9" s="7" t="n"/>
      <c r="M9" s="26" t="n"/>
    </row>
    <row r="10">
      <c r="A10" s="26" t="n"/>
      <c r="B10" s="42" t="n"/>
      <c r="C10" s="7" t="n"/>
      <c r="D10" s="23">
        <f>IF(C10="","",IF(ISNUMBER(SEARCH("tiktok",C10)),"TikTok",IF(OR(ISNUMBER(SEARCH("facebook",C10)),ISNUMBER(SEARCH("fb.watch",C10))),"Facebook",IF(OR(ISNUMBER(SEARCH("youtube",C10)),ISNUMBER(SEARCH("youtu.be",C10))),"YouTube",IF(ISNUMBER(SEARCH("instagram",C10)),"Instagram","Khác")))))</f>
        <v/>
      </c>
      <c r="E10" s="7" t="n"/>
      <c r="F10" s="7" t="n"/>
      <c r="G10" s="43" t="n"/>
      <c r="H10" s="7" t="n"/>
      <c r="I10" s="26" t="n"/>
      <c r="J10" s="7" t="n"/>
      <c r="K10" s="26" t="n"/>
      <c r="L10" s="7" t="n"/>
      <c r="M10" s="26" t="n"/>
    </row>
    <row r="11">
      <c r="A11" s="26" t="n"/>
      <c r="B11" s="42" t="n"/>
      <c r="C11" s="7" t="n"/>
      <c r="D11" s="23">
        <f>IF(C11="","",IF(ISNUMBER(SEARCH("tiktok",C11)),"TikTok",IF(OR(ISNUMBER(SEARCH("facebook",C11)),ISNUMBER(SEARCH("fb.watch",C11))),"Facebook",IF(OR(ISNUMBER(SEARCH("youtube",C11)),ISNUMBER(SEARCH("youtu.be",C11))),"YouTube",IF(ISNUMBER(SEARCH("instagram",C11)),"Instagram","Khác")))))</f>
        <v/>
      </c>
      <c r="E11" s="7" t="n"/>
      <c r="F11" s="7" t="n"/>
      <c r="G11" s="43" t="n"/>
      <c r="H11" s="7" t="n"/>
      <c r="I11" s="26" t="n"/>
      <c r="J11" s="7" t="n"/>
      <c r="K11" s="26" t="n"/>
      <c r="L11" s="7" t="n"/>
      <c r="M11" s="26" t="n"/>
    </row>
    <row r="12">
      <c r="A12" s="26" t="n"/>
      <c r="B12" s="42" t="n"/>
      <c r="C12" s="7" t="n"/>
      <c r="D12" s="23">
        <f>IF(C12="","",IF(ISNUMBER(SEARCH("tiktok",C12)),"TikTok",IF(OR(ISNUMBER(SEARCH("facebook",C12)),ISNUMBER(SEARCH("fb.watch",C12))),"Facebook",IF(OR(ISNUMBER(SEARCH("youtube",C12)),ISNUMBER(SEARCH("youtu.be",C12))),"YouTube",IF(ISNUMBER(SEARCH("instagram",C12)),"Instagram","Khác")))))</f>
        <v/>
      </c>
      <c r="E12" s="7" t="n"/>
      <c r="F12" s="7" t="n"/>
      <c r="G12" s="43" t="n"/>
      <c r="H12" s="7" t="n"/>
      <c r="I12" s="26" t="n"/>
      <c r="J12" s="7" t="n"/>
      <c r="K12" s="26" t="n"/>
      <c r="L12" s="7" t="n"/>
      <c r="M12" s="26" t="n"/>
    </row>
    <row r="13">
      <c r="A13" s="26" t="n"/>
      <c r="B13" s="42" t="n"/>
      <c r="C13" s="7" t="n"/>
      <c r="D13" s="23">
        <f>IF(C13="","",IF(ISNUMBER(SEARCH("tiktok",C13)),"TikTok",IF(OR(ISNUMBER(SEARCH("facebook",C13)),ISNUMBER(SEARCH("fb.watch",C13))),"Facebook",IF(OR(ISNUMBER(SEARCH("youtube",C13)),ISNUMBER(SEARCH("youtu.be",C13))),"YouTube",IF(ISNUMBER(SEARCH("instagram",C13)),"Instagram","Khác")))))</f>
        <v/>
      </c>
      <c r="E13" s="7" t="n"/>
      <c r="F13" s="7" t="n"/>
      <c r="G13" s="43" t="n"/>
      <c r="H13" s="7" t="n"/>
      <c r="I13" s="26" t="n"/>
      <c r="J13" s="7" t="n"/>
      <c r="K13" s="26" t="n"/>
      <c r="L13" s="7" t="n"/>
      <c r="M13" s="26" t="n"/>
    </row>
    <row r="14">
      <c r="A14" s="26" t="n"/>
      <c r="B14" s="42" t="n"/>
      <c r="C14" s="7" t="n"/>
      <c r="D14" s="23">
        <f>IF(C14="","",IF(ISNUMBER(SEARCH("tiktok",C14)),"TikTok",IF(OR(ISNUMBER(SEARCH("facebook",C14)),ISNUMBER(SEARCH("fb.watch",C14))),"Facebook",IF(OR(ISNUMBER(SEARCH("youtube",C14)),ISNUMBER(SEARCH("youtu.be",C14))),"YouTube",IF(ISNUMBER(SEARCH("instagram",C14)),"Instagram","Khác")))))</f>
        <v/>
      </c>
      <c r="E14" s="7" t="n"/>
      <c r="F14" s="7" t="n"/>
      <c r="G14" s="43" t="n"/>
      <c r="H14" s="7" t="n"/>
      <c r="I14" s="26" t="n"/>
      <c r="J14" s="7" t="n"/>
      <c r="K14" s="26" t="n"/>
      <c r="L14" s="7" t="n"/>
      <c r="M14" s="26" t="n"/>
    </row>
    <row r="15">
      <c r="A15" s="26" t="n"/>
      <c r="B15" s="42" t="n"/>
      <c r="C15" s="7" t="n"/>
      <c r="D15" s="23">
        <f>IF(C15="","",IF(ISNUMBER(SEARCH("tiktok",C15)),"TikTok",IF(OR(ISNUMBER(SEARCH("facebook",C15)),ISNUMBER(SEARCH("fb.watch",C15))),"Facebook",IF(OR(ISNUMBER(SEARCH("youtube",C15)),ISNUMBER(SEARCH("youtu.be",C15))),"YouTube",IF(ISNUMBER(SEARCH("instagram",C15)),"Instagram","Khác")))))</f>
        <v/>
      </c>
      <c r="E15" s="7" t="n"/>
      <c r="F15" s="7" t="n"/>
      <c r="G15" s="43" t="n"/>
      <c r="H15" s="7" t="n"/>
      <c r="I15" s="26" t="n"/>
      <c r="J15" s="7" t="n"/>
      <c r="K15" s="26" t="n"/>
      <c r="L15" s="7" t="n"/>
      <c r="M15" s="26" t="n"/>
    </row>
    <row r="16">
      <c r="A16" s="26" t="n"/>
      <c r="B16" s="42" t="n"/>
      <c r="C16" s="7" t="n"/>
      <c r="D16" s="23">
        <f>IF(C16="","",IF(ISNUMBER(SEARCH("tiktok",C16)),"TikTok",IF(OR(ISNUMBER(SEARCH("facebook",C16)),ISNUMBER(SEARCH("fb.watch",C16))),"Facebook",IF(OR(ISNUMBER(SEARCH("youtube",C16)),ISNUMBER(SEARCH("youtu.be",C16))),"YouTube",IF(ISNUMBER(SEARCH("instagram",C16)),"Instagram","Khác")))))</f>
        <v/>
      </c>
      <c r="E16" s="7" t="n"/>
      <c r="F16" s="7" t="n"/>
      <c r="G16" s="43" t="n"/>
      <c r="H16" s="7" t="n"/>
      <c r="I16" s="26" t="n"/>
      <c r="J16" s="7" t="n"/>
      <c r="K16" s="26" t="n"/>
      <c r="L16" s="7" t="n"/>
      <c r="M16" s="26" t="n"/>
    </row>
    <row r="17">
      <c r="A17" s="26" t="n"/>
      <c r="B17" s="42" t="n"/>
      <c r="C17" s="7" t="n"/>
      <c r="D17" s="23">
        <f>IF(C17="","",IF(ISNUMBER(SEARCH("tiktok",C17)),"TikTok",IF(OR(ISNUMBER(SEARCH("facebook",C17)),ISNUMBER(SEARCH("fb.watch",C17))),"Facebook",IF(OR(ISNUMBER(SEARCH("youtube",C17)),ISNUMBER(SEARCH("youtu.be",C17))),"YouTube",IF(ISNUMBER(SEARCH("instagram",C17)),"Instagram","Khác")))))</f>
        <v/>
      </c>
      <c r="E17" s="7" t="n"/>
      <c r="F17" s="7" t="n"/>
      <c r="G17" s="43" t="n"/>
      <c r="H17" s="7" t="n"/>
      <c r="I17" s="26" t="n"/>
      <c r="J17" s="7" t="n"/>
      <c r="K17" s="26" t="n"/>
      <c r="L17" s="7" t="n"/>
      <c r="M17" s="26" t="n"/>
    </row>
    <row r="18">
      <c r="A18" s="26" t="n"/>
      <c r="B18" s="42" t="n"/>
      <c r="C18" s="7" t="n"/>
      <c r="D18" s="23">
        <f>IF(C18="","",IF(ISNUMBER(SEARCH("tiktok",C18)),"TikTok",IF(OR(ISNUMBER(SEARCH("facebook",C18)),ISNUMBER(SEARCH("fb.watch",C18))),"Facebook",IF(OR(ISNUMBER(SEARCH("youtube",C18)),ISNUMBER(SEARCH("youtu.be",C18))),"YouTube",IF(ISNUMBER(SEARCH("instagram",C18)),"Instagram","Khác")))))</f>
        <v/>
      </c>
      <c r="E18" s="7" t="n"/>
      <c r="F18" s="7" t="n"/>
      <c r="G18" s="43" t="n"/>
      <c r="H18" s="7" t="n"/>
      <c r="I18" s="26" t="n"/>
      <c r="J18" s="7" t="n"/>
      <c r="K18" s="26" t="n"/>
      <c r="L18" s="7" t="n"/>
      <c r="M18" s="26" t="n"/>
    </row>
    <row r="19">
      <c r="A19" s="26" t="n"/>
      <c r="B19" s="42" t="n"/>
      <c r="C19" s="7" t="n"/>
      <c r="D19" s="23">
        <f>IF(C19="","",IF(ISNUMBER(SEARCH("tiktok",C19)),"TikTok",IF(OR(ISNUMBER(SEARCH("facebook",C19)),ISNUMBER(SEARCH("fb.watch",C19))),"Facebook",IF(OR(ISNUMBER(SEARCH("youtube",C19)),ISNUMBER(SEARCH("youtu.be",C19))),"YouTube",IF(ISNUMBER(SEARCH("instagram",C19)),"Instagram","Khác")))))</f>
        <v/>
      </c>
      <c r="E19" s="7" t="n"/>
      <c r="F19" s="7" t="n"/>
      <c r="G19" s="43" t="n"/>
      <c r="H19" s="7" t="n"/>
      <c r="I19" s="26" t="n"/>
      <c r="J19" s="7" t="n"/>
      <c r="K19" s="26" t="n"/>
      <c r="L19" s="7" t="n"/>
      <c r="M19" s="26" t="n"/>
    </row>
    <row r="20">
      <c r="A20" s="26" t="n"/>
      <c r="B20" s="42" t="n"/>
      <c r="C20" s="7" t="n"/>
      <c r="D20" s="23">
        <f>IF(C20="","",IF(ISNUMBER(SEARCH("tiktok",C20)),"TikTok",IF(OR(ISNUMBER(SEARCH("facebook",C20)),ISNUMBER(SEARCH("fb.watch",C20))),"Facebook",IF(OR(ISNUMBER(SEARCH("youtube",C20)),ISNUMBER(SEARCH("youtu.be",C20))),"YouTube",IF(ISNUMBER(SEARCH("instagram",C20)),"Instagram","Khác")))))</f>
        <v/>
      </c>
      <c r="E20" s="7" t="n"/>
      <c r="F20" s="7" t="n"/>
      <c r="G20" s="43" t="n"/>
      <c r="H20" s="7" t="n"/>
      <c r="I20" s="26" t="n"/>
      <c r="J20" s="7" t="n"/>
      <c r="K20" s="26" t="n"/>
      <c r="L20" s="7" t="n"/>
      <c r="M20" s="26" t="n"/>
    </row>
    <row r="21">
      <c r="A21" s="26" t="n"/>
      <c r="B21" s="42" t="n"/>
      <c r="C21" s="7" t="n"/>
      <c r="D21" s="23">
        <f>IF(C21="","",IF(ISNUMBER(SEARCH("tiktok",C21)),"TikTok",IF(OR(ISNUMBER(SEARCH("facebook",C21)),ISNUMBER(SEARCH("fb.watch",C21))),"Facebook",IF(OR(ISNUMBER(SEARCH("youtube",C21)),ISNUMBER(SEARCH("youtu.be",C21))),"YouTube",IF(ISNUMBER(SEARCH("instagram",C21)),"Instagram","Khác")))))</f>
        <v/>
      </c>
      <c r="E21" s="7" t="n"/>
      <c r="F21" s="7" t="n"/>
      <c r="G21" s="43" t="n"/>
      <c r="H21" s="7" t="n"/>
      <c r="I21" s="26" t="n"/>
      <c r="J21" s="7" t="n"/>
      <c r="K21" s="26" t="n"/>
      <c r="L21" s="7" t="n"/>
      <c r="M21" s="26" t="n"/>
    </row>
    <row r="22">
      <c r="A22" s="26" t="n"/>
      <c r="B22" s="42" t="n"/>
      <c r="C22" s="7" t="n"/>
      <c r="D22" s="23">
        <f>IF(C22="","",IF(ISNUMBER(SEARCH("tiktok",C22)),"TikTok",IF(OR(ISNUMBER(SEARCH("facebook",C22)),ISNUMBER(SEARCH("fb.watch",C22))),"Facebook",IF(OR(ISNUMBER(SEARCH("youtube",C22)),ISNUMBER(SEARCH("youtu.be",C22))),"YouTube",IF(ISNUMBER(SEARCH("instagram",C22)),"Instagram","Khác")))))</f>
        <v/>
      </c>
      <c r="E22" s="7" t="n"/>
      <c r="F22" s="7" t="n"/>
      <c r="G22" s="43" t="n"/>
      <c r="H22" s="7" t="n"/>
      <c r="I22" s="26" t="n"/>
      <c r="J22" s="7" t="n"/>
      <c r="K22" s="26" t="n"/>
      <c r="L22" s="7" t="n"/>
      <c r="M22" s="26" t="n"/>
    </row>
    <row r="23">
      <c r="A23" s="26" t="n"/>
      <c r="B23" s="42" t="n"/>
      <c r="C23" s="7" t="n"/>
      <c r="D23" s="23">
        <f>IF(C23="","",IF(ISNUMBER(SEARCH("tiktok",C23)),"TikTok",IF(OR(ISNUMBER(SEARCH("facebook",C23)),ISNUMBER(SEARCH("fb.watch",C23))),"Facebook",IF(OR(ISNUMBER(SEARCH("youtube",C23)),ISNUMBER(SEARCH("youtu.be",C23))),"YouTube",IF(ISNUMBER(SEARCH("instagram",C23)),"Instagram","Khác")))))</f>
        <v/>
      </c>
      <c r="E23" s="7" t="n"/>
      <c r="F23" s="7" t="n"/>
      <c r="G23" s="43" t="n"/>
      <c r="H23" s="7" t="n"/>
      <c r="I23" s="26" t="n"/>
      <c r="J23" s="7" t="n"/>
      <c r="K23" s="26" t="n"/>
      <c r="L23" s="7" t="n"/>
      <c r="M23" s="26" t="n"/>
    </row>
    <row r="24">
      <c r="A24" s="26" t="n"/>
      <c r="B24" s="42" t="n"/>
      <c r="C24" s="7" t="n"/>
      <c r="D24" s="23">
        <f>IF(C24="","",IF(ISNUMBER(SEARCH("tiktok",C24)),"TikTok",IF(OR(ISNUMBER(SEARCH("facebook",C24)),ISNUMBER(SEARCH("fb.watch",C24))),"Facebook",IF(OR(ISNUMBER(SEARCH("youtube",C24)),ISNUMBER(SEARCH("youtu.be",C24))),"YouTube",IF(ISNUMBER(SEARCH("instagram",C24)),"Instagram","Khác")))))</f>
        <v/>
      </c>
      <c r="E24" s="7" t="n"/>
      <c r="F24" s="7" t="n"/>
      <c r="G24" s="43" t="n"/>
      <c r="H24" s="7" t="n"/>
      <c r="I24" s="26" t="n"/>
      <c r="J24" s="7" t="n"/>
      <c r="K24" s="26" t="n"/>
      <c r="L24" s="7" t="n"/>
      <c r="M24" s="26" t="n"/>
    </row>
    <row r="25">
      <c r="A25" s="26" t="n"/>
      <c r="B25" s="42" t="n"/>
      <c r="C25" s="7" t="n"/>
      <c r="D25" s="23">
        <f>IF(C25="","",IF(ISNUMBER(SEARCH("tiktok",C25)),"TikTok",IF(OR(ISNUMBER(SEARCH("facebook",C25)),ISNUMBER(SEARCH("fb.watch",C25))),"Facebook",IF(OR(ISNUMBER(SEARCH("youtube",C25)),ISNUMBER(SEARCH("youtu.be",C25))),"YouTube",IF(ISNUMBER(SEARCH("instagram",C25)),"Instagram","Khác")))))</f>
        <v/>
      </c>
      <c r="E25" s="7" t="n"/>
      <c r="F25" s="7" t="n"/>
      <c r="G25" s="43" t="n"/>
      <c r="H25" s="7" t="n"/>
      <c r="I25" s="26" t="n"/>
      <c r="J25" s="7" t="n"/>
      <c r="K25" s="26" t="n"/>
      <c r="L25" s="7" t="n"/>
      <c r="M25" s="26" t="n"/>
    </row>
    <row r="26">
      <c r="A26" s="26" t="n"/>
      <c r="B26" s="42" t="n"/>
      <c r="C26" s="7" t="n"/>
      <c r="D26" s="23">
        <f>IF(C26="","",IF(ISNUMBER(SEARCH("tiktok",C26)),"TikTok",IF(OR(ISNUMBER(SEARCH("facebook",C26)),ISNUMBER(SEARCH("fb.watch",C26))),"Facebook",IF(OR(ISNUMBER(SEARCH("youtube",C26)),ISNUMBER(SEARCH("youtu.be",C26))),"YouTube",IF(ISNUMBER(SEARCH("instagram",C26)),"Instagram","Khác")))))</f>
        <v/>
      </c>
      <c r="E26" s="7" t="n"/>
      <c r="F26" s="7" t="n"/>
      <c r="G26" s="43" t="n"/>
      <c r="H26" s="7" t="n"/>
      <c r="I26" s="26" t="n"/>
      <c r="J26" s="7" t="n"/>
      <c r="K26" s="26" t="n"/>
      <c r="L26" s="7" t="n"/>
      <c r="M26" s="26" t="n"/>
    </row>
    <row r="27">
      <c r="A27" s="26" t="n"/>
      <c r="B27" s="42" t="n"/>
      <c r="C27" s="7" t="n"/>
      <c r="D27" s="23">
        <f>IF(C27="","",IF(ISNUMBER(SEARCH("tiktok",C27)),"TikTok",IF(OR(ISNUMBER(SEARCH("facebook",C27)),ISNUMBER(SEARCH("fb.watch",C27))),"Facebook",IF(OR(ISNUMBER(SEARCH("youtube",C27)),ISNUMBER(SEARCH("youtu.be",C27))),"YouTube",IF(ISNUMBER(SEARCH("instagram",C27)),"Instagram","Khác")))))</f>
        <v/>
      </c>
      <c r="E27" s="7" t="n"/>
      <c r="F27" s="7" t="n"/>
      <c r="G27" s="43" t="n"/>
      <c r="H27" s="7" t="n"/>
      <c r="I27" s="26" t="n"/>
      <c r="J27" s="7" t="n"/>
      <c r="K27" s="26" t="n"/>
      <c r="L27" s="7" t="n"/>
      <c r="M27" s="26" t="n"/>
    </row>
    <row r="28">
      <c r="A28" s="26" t="n"/>
      <c r="B28" s="42" t="n"/>
      <c r="C28" s="7" t="n"/>
      <c r="D28" s="23">
        <f>IF(C28="","",IF(ISNUMBER(SEARCH("tiktok",C28)),"TikTok",IF(OR(ISNUMBER(SEARCH("facebook",C28)),ISNUMBER(SEARCH("fb.watch",C28))),"Facebook",IF(OR(ISNUMBER(SEARCH("youtube",C28)),ISNUMBER(SEARCH("youtu.be",C28))),"YouTube",IF(ISNUMBER(SEARCH("instagram",C28)),"Instagram","Khác")))))</f>
        <v/>
      </c>
      <c r="E28" s="7" t="n"/>
      <c r="F28" s="7" t="n"/>
      <c r="G28" s="43" t="n"/>
      <c r="H28" s="7" t="n"/>
      <c r="I28" s="26" t="n"/>
      <c r="J28" s="7" t="n"/>
      <c r="K28" s="26" t="n"/>
      <c r="L28" s="7" t="n"/>
      <c r="M28" s="26" t="n"/>
    </row>
    <row r="29">
      <c r="A29" s="26" t="n"/>
      <c r="B29" s="42" t="n"/>
      <c r="C29" s="7" t="n"/>
      <c r="D29" s="23">
        <f>IF(C29="","",IF(ISNUMBER(SEARCH("tiktok",C29)),"TikTok",IF(OR(ISNUMBER(SEARCH("facebook",C29)),ISNUMBER(SEARCH("fb.watch",C29))),"Facebook",IF(OR(ISNUMBER(SEARCH("youtube",C29)),ISNUMBER(SEARCH("youtu.be",C29))),"YouTube",IF(ISNUMBER(SEARCH("instagram",C29)),"Instagram","Khác")))))</f>
        <v/>
      </c>
      <c r="E29" s="7" t="n"/>
      <c r="F29" s="7" t="n"/>
      <c r="G29" s="43" t="n"/>
      <c r="H29" s="7" t="n"/>
      <c r="I29" s="26" t="n"/>
      <c r="J29" s="7" t="n"/>
      <c r="K29" s="26" t="n"/>
      <c r="L29" s="7" t="n"/>
      <c r="M29" s="26" t="n"/>
    </row>
    <row r="30">
      <c r="A30" s="26" t="n"/>
      <c r="B30" s="42" t="n"/>
      <c r="C30" s="7" t="n"/>
      <c r="D30" s="23">
        <f>IF(C30="","",IF(ISNUMBER(SEARCH("tiktok",C30)),"TikTok",IF(OR(ISNUMBER(SEARCH("facebook",C30)),ISNUMBER(SEARCH("fb.watch",C30))),"Facebook",IF(OR(ISNUMBER(SEARCH("youtube",C30)),ISNUMBER(SEARCH("youtu.be",C30))),"YouTube",IF(ISNUMBER(SEARCH("instagram",C30)),"Instagram","Khác")))))</f>
        <v/>
      </c>
      <c r="E30" s="7" t="n"/>
      <c r="F30" s="7" t="n"/>
      <c r="G30" s="43" t="n"/>
      <c r="H30" s="7" t="n"/>
      <c r="I30" s="26" t="n"/>
      <c r="J30" s="7" t="n"/>
      <c r="K30" s="26" t="n"/>
      <c r="L30" s="7" t="n"/>
      <c r="M30" s="26" t="n"/>
    </row>
    <row r="31">
      <c r="A31" s="26" t="n"/>
      <c r="B31" s="42" t="n"/>
      <c r="C31" s="7" t="n"/>
      <c r="D31" s="23">
        <f>IF(C31="","",IF(ISNUMBER(SEARCH("tiktok",C31)),"TikTok",IF(OR(ISNUMBER(SEARCH("facebook",C31)),ISNUMBER(SEARCH("fb.watch",C31))),"Facebook",IF(OR(ISNUMBER(SEARCH("youtube",C31)),ISNUMBER(SEARCH("youtu.be",C31))),"YouTube",IF(ISNUMBER(SEARCH("instagram",C31)),"Instagram","Khác")))))</f>
        <v/>
      </c>
      <c r="E31" s="7" t="n"/>
      <c r="F31" s="7" t="n"/>
      <c r="G31" s="43" t="n"/>
      <c r="H31" s="7" t="n"/>
      <c r="I31" s="26" t="n"/>
      <c r="J31" s="7" t="n"/>
      <c r="K31" s="26" t="n"/>
      <c r="L31" s="7" t="n"/>
      <c r="M31" s="26" t="n"/>
    </row>
    <row r="32">
      <c r="A32" s="26" t="n"/>
      <c r="B32" s="42" t="n"/>
      <c r="C32" s="7" t="n"/>
      <c r="D32" s="23">
        <f>IF(C32="","",IF(ISNUMBER(SEARCH("tiktok",C32)),"TikTok",IF(OR(ISNUMBER(SEARCH("facebook",C32)),ISNUMBER(SEARCH("fb.watch",C32))),"Facebook",IF(OR(ISNUMBER(SEARCH("youtube",C32)),ISNUMBER(SEARCH("youtu.be",C32))),"YouTube",IF(ISNUMBER(SEARCH("instagram",C32)),"Instagram","Khác")))))</f>
        <v/>
      </c>
      <c r="E32" s="7" t="n"/>
      <c r="F32" s="7" t="n"/>
      <c r="G32" s="43" t="n"/>
      <c r="H32" s="7" t="n"/>
      <c r="I32" s="26" t="n"/>
      <c r="J32" s="7" t="n"/>
      <c r="K32" s="26" t="n"/>
      <c r="L32" s="7" t="n"/>
      <c r="M32" s="26" t="n"/>
    </row>
    <row r="33">
      <c r="A33" s="26" t="n"/>
      <c r="B33" s="42" t="n"/>
      <c r="C33" s="7" t="n"/>
      <c r="D33" s="23">
        <f>IF(C33="","",IF(ISNUMBER(SEARCH("tiktok",C33)),"TikTok",IF(OR(ISNUMBER(SEARCH("facebook",C33)),ISNUMBER(SEARCH("fb.watch",C33))),"Facebook",IF(OR(ISNUMBER(SEARCH("youtube",C33)),ISNUMBER(SEARCH("youtu.be",C33))),"YouTube",IF(ISNUMBER(SEARCH("instagram",C33)),"Instagram","Khác")))))</f>
        <v/>
      </c>
      <c r="E33" s="7" t="n"/>
      <c r="F33" s="7" t="n"/>
      <c r="G33" s="43" t="n"/>
      <c r="H33" s="7" t="n"/>
      <c r="I33" s="26" t="n"/>
      <c r="J33" s="7" t="n"/>
      <c r="K33" s="26" t="n"/>
      <c r="L33" s="7" t="n"/>
      <c r="M33" s="26" t="n"/>
    </row>
    <row r="34">
      <c r="A34" s="26" t="n"/>
      <c r="B34" s="42" t="n"/>
      <c r="C34" s="7" t="n"/>
      <c r="D34" s="23">
        <f>IF(C34="","",IF(ISNUMBER(SEARCH("tiktok",C34)),"TikTok",IF(OR(ISNUMBER(SEARCH("facebook",C34)),ISNUMBER(SEARCH("fb.watch",C34))),"Facebook",IF(OR(ISNUMBER(SEARCH("youtube",C34)),ISNUMBER(SEARCH("youtu.be",C34))),"YouTube",IF(ISNUMBER(SEARCH("instagram",C34)),"Instagram","Khác")))))</f>
        <v/>
      </c>
      <c r="E34" s="7" t="n"/>
      <c r="F34" s="7" t="n"/>
      <c r="G34" s="43" t="n"/>
      <c r="H34" s="7" t="n"/>
      <c r="I34" s="26" t="n"/>
      <c r="J34" s="7" t="n"/>
      <c r="K34" s="26" t="n"/>
      <c r="L34" s="7" t="n"/>
      <c r="M34" s="26" t="n"/>
    </row>
    <row r="35">
      <c r="A35" s="26" t="n"/>
      <c r="B35" s="42" t="n"/>
      <c r="C35" s="7" t="n"/>
      <c r="D35" s="23">
        <f>IF(C35="","",IF(ISNUMBER(SEARCH("tiktok",C35)),"TikTok",IF(OR(ISNUMBER(SEARCH("facebook",C35)),ISNUMBER(SEARCH("fb.watch",C35))),"Facebook",IF(OR(ISNUMBER(SEARCH("youtube",C35)),ISNUMBER(SEARCH("youtu.be",C35))),"YouTube",IF(ISNUMBER(SEARCH("instagram",C35)),"Instagram","Khác")))))</f>
        <v/>
      </c>
      <c r="E35" s="7" t="n"/>
      <c r="F35" s="7" t="n"/>
      <c r="G35" s="43" t="n"/>
      <c r="H35" s="7" t="n"/>
      <c r="I35" s="26" t="n"/>
      <c r="J35" s="7" t="n"/>
      <c r="K35" s="26" t="n"/>
      <c r="L35" s="7" t="n"/>
      <c r="M35" s="26" t="n"/>
    </row>
    <row r="36">
      <c r="A36" s="26" t="n"/>
      <c r="B36" s="42" t="n"/>
      <c r="C36" s="7" t="n"/>
      <c r="D36" s="23">
        <f>IF(C36="","",IF(ISNUMBER(SEARCH("tiktok",C36)),"TikTok",IF(OR(ISNUMBER(SEARCH("facebook",C36)),ISNUMBER(SEARCH("fb.watch",C36))),"Facebook",IF(OR(ISNUMBER(SEARCH("youtube",C36)),ISNUMBER(SEARCH("youtu.be",C36))),"YouTube",IF(ISNUMBER(SEARCH("instagram",C36)),"Instagram","Khác")))))</f>
        <v/>
      </c>
      <c r="E36" s="7" t="n"/>
      <c r="F36" s="7" t="n"/>
      <c r="G36" s="43" t="n"/>
      <c r="H36" s="7" t="n"/>
      <c r="I36" s="26" t="n"/>
      <c r="J36" s="7" t="n"/>
      <c r="K36" s="26" t="n"/>
      <c r="L36" s="7" t="n"/>
      <c r="M36" s="26" t="n"/>
    </row>
    <row r="37">
      <c r="A37" s="26" t="n"/>
      <c r="B37" s="42" t="n"/>
      <c r="C37" s="7" t="n"/>
      <c r="D37" s="23">
        <f>IF(C37="","",IF(ISNUMBER(SEARCH("tiktok",C37)),"TikTok",IF(OR(ISNUMBER(SEARCH("facebook",C37)),ISNUMBER(SEARCH("fb.watch",C37))),"Facebook",IF(OR(ISNUMBER(SEARCH("youtube",C37)),ISNUMBER(SEARCH("youtu.be",C37))),"YouTube",IF(ISNUMBER(SEARCH("instagram",C37)),"Instagram","Khác")))))</f>
        <v/>
      </c>
      <c r="E37" s="7" t="n"/>
      <c r="F37" s="7" t="n"/>
      <c r="G37" s="43" t="n"/>
      <c r="H37" s="7" t="n"/>
      <c r="I37" s="26" t="n"/>
      <c r="J37" s="7" t="n"/>
      <c r="K37" s="26" t="n"/>
      <c r="L37" s="7" t="n"/>
      <c r="M37" s="26" t="n"/>
    </row>
    <row r="38">
      <c r="A38" s="26" t="n"/>
      <c r="B38" s="42" t="n"/>
      <c r="C38" s="7" t="n"/>
      <c r="D38" s="23">
        <f>IF(C38="","",IF(ISNUMBER(SEARCH("tiktok",C38)),"TikTok",IF(OR(ISNUMBER(SEARCH("facebook",C38)),ISNUMBER(SEARCH("fb.watch",C38))),"Facebook",IF(OR(ISNUMBER(SEARCH("youtube",C38)),ISNUMBER(SEARCH("youtu.be",C38))),"YouTube",IF(ISNUMBER(SEARCH("instagram",C38)),"Instagram","Khác")))))</f>
        <v/>
      </c>
      <c r="E38" s="7" t="n"/>
      <c r="F38" s="7" t="n"/>
      <c r="G38" s="43" t="n"/>
      <c r="H38" s="7" t="n"/>
      <c r="I38" s="26" t="n"/>
      <c r="J38" s="7" t="n"/>
      <c r="K38" s="26" t="n"/>
      <c r="L38" s="7" t="n"/>
      <c r="M38" s="26" t="n"/>
    </row>
    <row r="39">
      <c r="A39" s="26" t="n"/>
      <c r="B39" s="42" t="n"/>
      <c r="C39" s="7" t="n"/>
      <c r="D39" s="23">
        <f>IF(C39="","",IF(ISNUMBER(SEARCH("tiktok",C39)),"TikTok",IF(OR(ISNUMBER(SEARCH("facebook",C39)),ISNUMBER(SEARCH("fb.watch",C39))),"Facebook",IF(OR(ISNUMBER(SEARCH("youtube",C39)),ISNUMBER(SEARCH("youtu.be",C39))),"YouTube",IF(ISNUMBER(SEARCH("instagram",C39)),"Instagram","Khác")))))</f>
        <v/>
      </c>
      <c r="E39" s="7" t="n"/>
      <c r="F39" s="7" t="n"/>
      <c r="G39" s="43" t="n"/>
      <c r="H39" s="7" t="n"/>
      <c r="I39" s="26" t="n"/>
      <c r="J39" s="7" t="n"/>
      <c r="K39" s="26" t="n"/>
      <c r="L39" s="7" t="n"/>
      <c r="M39" s="26" t="n"/>
    </row>
    <row r="40">
      <c r="A40" s="26" t="n"/>
      <c r="B40" s="42" t="n"/>
      <c r="C40" s="7" t="n"/>
      <c r="D40" s="23">
        <f>IF(C40="","",IF(ISNUMBER(SEARCH("tiktok",C40)),"TikTok",IF(OR(ISNUMBER(SEARCH("facebook",C40)),ISNUMBER(SEARCH("fb.watch",C40))),"Facebook",IF(OR(ISNUMBER(SEARCH("youtube",C40)),ISNUMBER(SEARCH("youtu.be",C40))),"YouTube",IF(ISNUMBER(SEARCH("instagram",C40)),"Instagram","Khác")))))</f>
        <v/>
      </c>
      <c r="E40" s="7" t="n"/>
      <c r="F40" s="7" t="n"/>
      <c r="G40" s="43" t="n"/>
      <c r="H40" s="7" t="n"/>
      <c r="I40" s="26" t="n"/>
      <c r="J40" s="7" t="n"/>
      <c r="K40" s="26" t="n"/>
      <c r="L40" s="7" t="n"/>
      <c r="M40" s="26" t="n"/>
    </row>
    <row r="41">
      <c r="A41" s="26" t="n"/>
      <c r="B41" s="42" t="n"/>
      <c r="C41" s="7" t="n"/>
      <c r="D41" s="23">
        <f>IF(C41="","",IF(ISNUMBER(SEARCH("tiktok",C41)),"TikTok",IF(OR(ISNUMBER(SEARCH("facebook",C41)),ISNUMBER(SEARCH("fb.watch",C41))),"Facebook",IF(OR(ISNUMBER(SEARCH("youtube",C41)),ISNUMBER(SEARCH("youtu.be",C41))),"YouTube",IF(ISNUMBER(SEARCH("instagram",C41)),"Instagram","Khác")))))</f>
        <v/>
      </c>
      <c r="E41" s="7" t="n"/>
      <c r="F41" s="7" t="n"/>
      <c r="G41" s="43" t="n"/>
      <c r="H41" s="7" t="n"/>
      <c r="I41" s="26" t="n"/>
      <c r="J41" s="7" t="n"/>
      <c r="K41" s="26" t="n"/>
      <c r="L41" s="7" t="n"/>
      <c r="M41" s="26" t="n"/>
    </row>
    <row r="42">
      <c r="A42" s="26" t="n"/>
      <c r="B42" s="42" t="n"/>
      <c r="C42" s="7" t="n"/>
      <c r="D42" s="23">
        <f>IF(C42="","",IF(ISNUMBER(SEARCH("tiktok",C42)),"TikTok",IF(OR(ISNUMBER(SEARCH("facebook",C42)),ISNUMBER(SEARCH("fb.watch",C42))),"Facebook",IF(OR(ISNUMBER(SEARCH("youtube",C42)),ISNUMBER(SEARCH("youtu.be",C42))),"YouTube",IF(ISNUMBER(SEARCH("instagram",C42)),"Instagram","Khác")))))</f>
        <v/>
      </c>
      <c r="E42" s="7" t="n"/>
      <c r="F42" s="7" t="n"/>
      <c r="G42" s="43" t="n"/>
      <c r="H42" s="7" t="n"/>
      <c r="I42" s="26" t="n"/>
      <c r="J42" s="7" t="n"/>
      <c r="K42" s="26" t="n"/>
      <c r="L42" s="7" t="n"/>
      <c r="M42" s="26" t="n"/>
    </row>
    <row r="43">
      <c r="A43" s="26" t="n"/>
      <c r="B43" s="42" t="n"/>
      <c r="C43" s="7" t="n"/>
      <c r="D43" s="23">
        <f>IF(C43="","",IF(ISNUMBER(SEARCH("tiktok",C43)),"TikTok",IF(OR(ISNUMBER(SEARCH("facebook",C43)),ISNUMBER(SEARCH("fb.watch",C43))),"Facebook",IF(OR(ISNUMBER(SEARCH("youtube",C43)),ISNUMBER(SEARCH("youtu.be",C43))),"YouTube",IF(ISNUMBER(SEARCH("instagram",C43)),"Instagram","Khác")))))</f>
        <v/>
      </c>
      <c r="E43" s="7" t="n"/>
      <c r="F43" s="7" t="n"/>
      <c r="G43" s="43" t="n"/>
      <c r="H43" s="7" t="n"/>
      <c r="I43" s="26" t="n"/>
      <c r="J43" s="7" t="n"/>
      <c r="K43" s="26" t="n"/>
      <c r="L43" s="7" t="n"/>
      <c r="M43" s="26" t="n"/>
    </row>
    <row r="44">
      <c r="A44" s="26" t="n"/>
      <c r="B44" s="42" t="n"/>
      <c r="C44" s="7" t="n"/>
      <c r="D44" s="23">
        <f>IF(C44="","",IF(ISNUMBER(SEARCH("tiktok",C44)),"TikTok",IF(OR(ISNUMBER(SEARCH("facebook",C44)),ISNUMBER(SEARCH("fb.watch",C44))),"Facebook",IF(OR(ISNUMBER(SEARCH("youtube",C44)),ISNUMBER(SEARCH("youtu.be",C44))),"YouTube",IF(ISNUMBER(SEARCH("instagram",C44)),"Instagram","Khác")))))</f>
        <v/>
      </c>
      <c r="E44" s="7" t="n"/>
      <c r="F44" s="7" t="n"/>
      <c r="G44" s="43" t="n"/>
      <c r="H44" s="7" t="n"/>
      <c r="I44" s="26" t="n"/>
      <c r="J44" s="7" t="n"/>
      <c r="K44" s="26" t="n"/>
      <c r="L44" s="7" t="n"/>
      <c r="M44" s="26" t="n"/>
    </row>
    <row r="45">
      <c r="A45" s="26" t="n"/>
      <c r="B45" s="42" t="n"/>
      <c r="C45" s="7" t="n"/>
      <c r="D45" s="23">
        <f>IF(C45="","",IF(ISNUMBER(SEARCH("tiktok",C45)),"TikTok",IF(OR(ISNUMBER(SEARCH("facebook",C45)),ISNUMBER(SEARCH("fb.watch",C45))),"Facebook",IF(OR(ISNUMBER(SEARCH("youtube",C45)),ISNUMBER(SEARCH("youtu.be",C45))),"YouTube",IF(ISNUMBER(SEARCH("instagram",C45)),"Instagram","Khác")))))</f>
        <v/>
      </c>
      <c r="E45" s="7" t="n"/>
      <c r="F45" s="7" t="n"/>
      <c r="G45" s="43" t="n"/>
      <c r="H45" s="7" t="n"/>
      <c r="I45" s="26" t="n"/>
      <c r="J45" s="7" t="n"/>
      <c r="K45" s="26" t="n"/>
      <c r="L45" s="7" t="n"/>
      <c r="M45" s="26" t="n"/>
    </row>
    <row r="46">
      <c r="A46" s="26" t="n"/>
      <c r="B46" s="42" t="n"/>
      <c r="C46" s="7" t="n"/>
      <c r="D46" s="23">
        <f>IF(C46="","",IF(ISNUMBER(SEARCH("tiktok",C46)),"TikTok",IF(OR(ISNUMBER(SEARCH("facebook",C46)),ISNUMBER(SEARCH("fb.watch",C46))),"Facebook",IF(OR(ISNUMBER(SEARCH("youtube",C46)),ISNUMBER(SEARCH("youtu.be",C46))),"YouTube",IF(ISNUMBER(SEARCH("instagram",C46)),"Instagram","Khác")))))</f>
        <v/>
      </c>
      <c r="E46" s="7" t="n"/>
      <c r="F46" s="7" t="n"/>
      <c r="G46" s="43" t="n"/>
      <c r="H46" s="7" t="n"/>
      <c r="I46" s="26" t="n"/>
      <c r="J46" s="7" t="n"/>
      <c r="K46" s="26" t="n"/>
      <c r="L46" s="7" t="n"/>
      <c r="M46" s="26" t="n"/>
    </row>
    <row r="47">
      <c r="A47" s="26" t="n"/>
      <c r="B47" s="42" t="n"/>
      <c r="C47" s="7" t="n"/>
      <c r="D47" s="23">
        <f>IF(C47="","",IF(ISNUMBER(SEARCH("tiktok",C47)),"TikTok",IF(OR(ISNUMBER(SEARCH("facebook",C47)),ISNUMBER(SEARCH("fb.watch",C47))),"Facebook",IF(OR(ISNUMBER(SEARCH("youtube",C47)),ISNUMBER(SEARCH("youtu.be",C47))),"YouTube",IF(ISNUMBER(SEARCH("instagram",C47)),"Instagram","Khác")))))</f>
        <v/>
      </c>
      <c r="E47" s="7" t="n"/>
      <c r="F47" s="7" t="n"/>
      <c r="G47" s="43" t="n"/>
      <c r="H47" s="7" t="n"/>
      <c r="I47" s="26" t="n"/>
      <c r="J47" s="7" t="n"/>
      <c r="K47" s="26" t="n"/>
      <c r="L47" s="7" t="n"/>
      <c r="M47" s="26" t="n"/>
    </row>
    <row r="48">
      <c r="A48" s="26" t="n"/>
      <c r="B48" s="42" t="n"/>
      <c r="C48" s="7" t="n"/>
      <c r="D48" s="23">
        <f>IF(C48="","",IF(ISNUMBER(SEARCH("tiktok",C48)),"TikTok",IF(OR(ISNUMBER(SEARCH("facebook",C48)),ISNUMBER(SEARCH("fb.watch",C48))),"Facebook",IF(OR(ISNUMBER(SEARCH("youtube",C48)),ISNUMBER(SEARCH("youtu.be",C48))),"YouTube",IF(ISNUMBER(SEARCH("instagram",C48)),"Instagram","Khác")))))</f>
        <v/>
      </c>
      <c r="E48" s="7" t="n"/>
      <c r="F48" s="7" t="n"/>
      <c r="G48" s="43" t="n"/>
      <c r="H48" s="7" t="n"/>
      <c r="I48" s="26" t="n"/>
      <c r="J48" s="7" t="n"/>
      <c r="K48" s="26" t="n"/>
      <c r="L48" s="7" t="n"/>
      <c r="M48" s="26" t="n"/>
    </row>
    <row r="49">
      <c r="A49" s="26" t="n"/>
      <c r="B49" s="42" t="n"/>
      <c r="C49" s="7" t="n"/>
      <c r="D49" s="23">
        <f>IF(C49="","",IF(ISNUMBER(SEARCH("tiktok",C49)),"TikTok",IF(OR(ISNUMBER(SEARCH("facebook",C49)),ISNUMBER(SEARCH("fb.watch",C49))),"Facebook",IF(OR(ISNUMBER(SEARCH("youtube",C49)),ISNUMBER(SEARCH("youtu.be",C49))),"YouTube",IF(ISNUMBER(SEARCH("instagram",C49)),"Instagram","Khác")))))</f>
        <v/>
      </c>
      <c r="E49" s="7" t="n"/>
      <c r="F49" s="7" t="n"/>
      <c r="G49" s="43" t="n"/>
      <c r="H49" s="7" t="n"/>
      <c r="I49" s="26" t="n"/>
      <c r="J49" s="7" t="n"/>
      <c r="K49" s="26" t="n"/>
      <c r="L49" s="7" t="n"/>
      <c r="M49" s="26" t="n"/>
    </row>
    <row r="50">
      <c r="A50" s="26" t="n"/>
      <c r="B50" s="42" t="n"/>
      <c r="C50" s="7" t="n"/>
      <c r="D50" s="23">
        <f>IF(C50="","",IF(ISNUMBER(SEARCH("tiktok",C50)),"TikTok",IF(OR(ISNUMBER(SEARCH("facebook",C50)),ISNUMBER(SEARCH("fb.watch",C50))),"Facebook",IF(OR(ISNUMBER(SEARCH("youtube",C50)),ISNUMBER(SEARCH("youtu.be",C50))),"YouTube",IF(ISNUMBER(SEARCH("instagram",C50)),"Instagram","Khác")))))</f>
        <v/>
      </c>
      <c r="E50" s="7" t="n"/>
      <c r="F50" s="7" t="n"/>
      <c r="G50" s="43" t="n"/>
      <c r="H50" s="7" t="n"/>
      <c r="I50" s="26" t="n"/>
      <c r="J50" s="7" t="n"/>
      <c r="K50" s="26" t="n"/>
      <c r="L50" s="7" t="n"/>
      <c r="M50" s="26" t="n"/>
    </row>
    <row r="51">
      <c r="A51" s="26" t="n"/>
      <c r="B51" s="42" t="n"/>
      <c r="C51" s="7" t="n"/>
      <c r="D51" s="23">
        <f>IF(C51="","",IF(ISNUMBER(SEARCH("tiktok",C51)),"TikTok",IF(OR(ISNUMBER(SEARCH("facebook",C51)),ISNUMBER(SEARCH("fb.watch",C51))),"Facebook",IF(OR(ISNUMBER(SEARCH("youtube",C51)),ISNUMBER(SEARCH("youtu.be",C51))),"YouTube",IF(ISNUMBER(SEARCH("instagram",C51)),"Instagram","Khác")))))</f>
        <v/>
      </c>
      <c r="E51" s="7" t="n"/>
      <c r="F51" s="7" t="n"/>
      <c r="G51" s="43" t="n"/>
      <c r="H51" s="7" t="n"/>
      <c r="I51" s="26" t="n"/>
      <c r="J51" s="7" t="n"/>
      <c r="K51" s="26" t="n"/>
      <c r="L51" s="7" t="n"/>
      <c r="M51" s="26" t="n"/>
    </row>
    <row r="52">
      <c r="A52" s="26" t="n"/>
      <c r="B52" s="42" t="n"/>
      <c r="C52" s="7" t="n"/>
      <c r="D52" s="23">
        <f>IF(C52="","",IF(ISNUMBER(SEARCH("tiktok",C52)),"TikTok",IF(OR(ISNUMBER(SEARCH("facebook",C52)),ISNUMBER(SEARCH("fb.watch",C52))),"Facebook",IF(OR(ISNUMBER(SEARCH("youtube",C52)),ISNUMBER(SEARCH("youtu.be",C52))),"YouTube",IF(ISNUMBER(SEARCH("instagram",C52)),"Instagram","Khác")))))</f>
        <v/>
      </c>
      <c r="E52" s="7" t="n"/>
      <c r="F52" s="7" t="n"/>
      <c r="G52" s="43" t="n"/>
      <c r="H52" s="7" t="n"/>
      <c r="I52" s="26" t="n"/>
      <c r="J52" s="7" t="n"/>
      <c r="K52" s="26" t="n"/>
      <c r="L52" s="7" t="n"/>
      <c r="M52" s="26" t="n"/>
    </row>
    <row r="53">
      <c r="A53" s="26" t="n"/>
      <c r="B53" s="42" t="n"/>
      <c r="C53" s="7" t="n"/>
      <c r="D53" s="23">
        <f>IF(C53="","",IF(ISNUMBER(SEARCH("tiktok",C53)),"TikTok",IF(OR(ISNUMBER(SEARCH("facebook",C53)),ISNUMBER(SEARCH("fb.watch",C53))),"Facebook",IF(OR(ISNUMBER(SEARCH("youtube",C53)),ISNUMBER(SEARCH("youtu.be",C53))),"YouTube",IF(ISNUMBER(SEARCH("instagram",C53)),"Instagram","Khác")))))</f>
        <v/>
      </c>
      <c r="E53" s="7" t="n"/>
      <c r="F53" s="7" t="n"/>
      <c r="G53" s="43" t="n"/>
      <c r="H53" s="7" t="n"/>
      <c r="I53" s="26" t="n"/>
      <c r="J53" s="7" t="n"/>
      <c r="K53" s="26" t="n"/>
      <c r="L53" s="7" t="n"/>
      <c r="M53" s="26" t="n"/>
    </row>
    <row r="54">
      <c r="A54" s="26" t="n"/>
      <c r="B54" s="42" t="n"/>
      <c r="C54" s="7" t="n"/>
      <c r="D54" s="23">
        <f>IF(C54="","",IF(ISNUMBER(SEARCH("tiktok",C54)),"TikTok",IF(OR(ISNUMBER(SEARCH("facebook",C54)),ISNUMBER(SEARCH("fb.watch",C54))),"Facebook",IF(OR(ISNUMBER(SEARCH("youtube",C54)),ISNUMBER(SEARCH("youtu.be",C54))),"YouTube",IF(ISNUMBER(SEARCH("instagram",C54)),"Instagram","Khác")))))</f>
        <v/>
      </c>
      <c r="E54" s="7" t="n"/>
      <c r="F54" s="7" t="n"/>
      <c r="G54" s="43" t="n"/>
      <c r="H54" s="7" t="n"/>
      <c r="I54" s="26" t="n"/>
      <c r="J54" s="7" t="n"/>
      <c r="K54" s="26" t="n"/>
      <c r="L54" s="7" t="n"/>
      <c r="M54" s="26" t="n"/>
    </row>
    <row r="55">
      <c r="A55" s="26" t="n"/>
      <c r="B55" s="42" t="n"/>
      <c r="C55" s="7" t="n"/>
      <c r="D55" s="23">
        <f>IF(C55="","",IF(ISNUMBER(SEARCH("tiktok",C55)),"TikTok",IF(OR(ISNUMBER(SEARCH("facebook",C55)),ISNUMBER(SEARCH("fb.watch",C55))),"Facebook",IF(OR(ISNUMBER(SEARCH("youtube",C55)),ISNUMBER(SEARCH("youtu.be",C55))),"YouTube",IF(ISNUMBER(SEARCH("instagram",C55)),"Instagram","Khác")))))</f>
        <v/>
      </c>
      <c r="E55" s="7" t="n"/>
      <c r="F55" s="7" t="n"/>
      <c r="G55" s="43" t="n"/>
      <c r="H55" s="7" t="n"/>
      <c r="I55" s="26" t="n"/>
      <c r="J55" s="7" t="n"/>
      <c r="K55" s="26" t="n"/>
      <c r="L55" s="7" t="n"/>
      <c r="M55" s="26" t="n"/>
    </row>
    <row r="56">
      <c r="A56" s="26" t="n"/>
      <c r="B56" s="42" t="n"/>
      <c r="C56" s="7" t="n"/>
      <c r="D56" s="23">
        <f>IF(C56="","",IF(ISNUMBER(SEARCH("tiktok",C56)),"TikTok",IF(OR(ISNUMBER(SEARCH("facebook",C56)),ISNUMBER(SEARCH("fb.watch",C56))),"Facebook",IF(OR(ISNUMBER(SEARCH("youtube",C56)),ISNUMBER(SEARCH("youtu.be",C56))),"YouTube",IF(ISNUMBER(SEARCH("instagram",C56)),"Instagram","Khác")))))</f>
        <v/>
      </c>
      <c r="E56" s="7" t="n"/>
      <c r="F56" s="7" t="n"/>
      <c r="G56" s="43" t="n"/>
      <c r="H56" s="7" t="n"/>
      <c r="I56" s="26" t="n"/>
      <c r="J56" s="7" t="n"/>
      <c r="K56" s="26" t="n"/>
      <c r="L56" s="7" t="n"/>
      <c r="M56" s="26" t="n"/>
    </row>
    <row r="57">
      <c r="A57" s="26" t="n"/>
      <c r="B57" s="42" t="n"/>
      <c r="C57" s="7" t="n"/>
      <c r="D57" s="23">
        <f>IF(C57="","",IF(ISNUMBER(SEARCH("tiktok",C57)),"TikTok",IF(OR(ISNUMBER(SEARCH("facebook",C57)),ISNUMBER(SEARCH("fb.watch",C57))),"Facebook",IF(OR(ISNUMBER(SEARCH("youtube",C57)),ISNUMBER(SEARCH("youtu.be",C57))),"YouTube",IF(ISNUMBER(SEARCH("instagram",C57)),"Instagram","Khác")))))</f>
        <v/>
      </c>
      <c r="E57" s="7" t="n"/>
      <c r="F57" s="7" t="n"/>
      <c r="G57" s="43" t="n"/>
      <c r="H57" s="7" t="n"/>
      <c r="I57" s="26" t="n"/>
      <c r="J57" s="7" t="n"/>
      <c r="K57" s="26" t="n"/>
      <c r="L57" s="7" t="n"/>
      <c r="M57" s="26" t="n"/>
    </row>
    <row r="58">
      <c r="A58" s="26" t="n"/>
      <c r="B58" s="42" t="n"/>
      <c r="C58" s="7" t="n"/>
      <c r="D58" s="23">
        <f>IF(C58="","",IF(ISNUMBER(SEARCH("tiktok",C58)),"TikTok",IF(OR(ISNUMBER(SEARCH("facebook",C58)),ISNUMBER(SEARCH("fb.watch",C58))),"Facebook",IF(OR(ISNUMBER(SEARCH("youtube",C58)),ISNUMBER(SEARCH("youtu.be",C58))),"YouTube",IF(ISNUMBER(SEARCH("instagram",C58)),"Instagram","Khác")))))</f>
        <v/>
      </c>
      <c r="E58" s="7" t="n"/>
      <c r="F58" s="7" t="n"/>
      <c r="G58" s="43" t="n"/>
      <c r="H58" s="7" t="n"/>
      <c r="I58" s="26" t="n"/>
      <c r="J58" s="7" t="n"/>
      <c r="K58" s="26" t="n"/>
      <c r="L58" s="7" t="n"/>
      <c r="M58" s="26" t="n"/>
    </row>
    <row r="59">
      <c r="A59" s="26" t="n"/>
      <c r="B59" s="42" t="n"/>
      <c r="C59" s="7" t="n"/>
      <c r="D59" s="23">
        <f>IF(C59="","",IF(ISNUMBER(SEARCH("tiktok",C59)),"TikTok",IF(OR(ISNUMBER(SEARCH("facebook",C59)),ISNUMBER(SEARCH("fb.watch",C59))),"Facebook",IF(OR(ISNUMBER(SEARCH("youtube",C59)),ISNUMBER(SEARCH("youtu.be",C59))),"YouTube",IF(ISNUMBER(SEARCH("instagram",C59)),"Instagram","Khác")))))</f>
        <v/>
      </c>
      <c r="E59" s="7" t="n"/>
      <c r="F59" s="7" t="n"/>
      <c r="G59" s="43" t="n"/>
      <c r="H59" s="7" t="n"/>
      <c r="I59" s="26" t="n"/>
      <c r="J59" s="7" t="n"/>
      <c r="K59" s="26" t="n"/>
      <c r="L59" s="7" t="n"/>
      <c r="M59" s="26" t="n"/>
    </row>
    <row r="60">
      <c r="A60" s="26" t="n"/>
      <c r="B60" s="42" t="n"/>
      <c r="C60" s="7" t="n"/>
      <c r="D60" s="23">
        <f>IF(C60="","",IF(ISNUMBER(SEARCH("tiktok",C60)),"TikTok",IF(OR(ISNUMBER(SEARCH("facebook",C60)),ISNUMBER(SEARCH("fb.watch",C60))),"Facebook",IF(OR(ISNUMBER(SEARCH("youtube",C60)),ISNUMBER(SEARCH("youtu.be",C60))),"YouTube",IF(ISNUMBER(SEARCH("instagram",C60)),"Instagram","Khác")))))</f>
        <v/>
      </c>
      <c r="E60" s="7" t="n"/>
      <c r="F60" s="7" t="n"/>
      <c r="G60" s="43" t="n"/>
      <c r="H60" s="7" t="n"/>
      <c r="I60" s="26" t="n"/>
      <c r="J60" s="7" t="n"/>
      <c r="K60" s="26" t="n"/>
      <c r="L60" s="7" t="n"/>
      <c r="M60" s="26" t="n"/>
    </row>
    <row r="61">
      <c r="A61" s="26" t="n"/>
      <c r="B61" s="42" t="n"/>
      <c r="C61" s="7" t="n"/>
      <c r="D61" s="23">
        <f>IF(C61="","",IF(ISNUMBER(SEARCH("tiktok",C61)),"TikTok",IF(OR(ISNUMBER(SEARCH("facebook",C61)),ISNUMBER(SEARCH("fb.watch",C61))),"Facebook",IF(OR(ISNUMBER(SEARCH("youtube",C61)),ISNUMBER(SEARCH("youtu.be",C61))),"YouTube",IF(ISNUMBER(SEARCH("instagram",C61)),"Instagram","Khác")))))</f>
        <v/>
      </c>
      <c r="E61" s="7" t="n"/>
      <c r="F61" s="7" t="n"/>
      <c r="G61" s="43" t="n"/>
      <c r="H61" s="7" t="n"/>
      <c r="I61" s="26" t="n"/>
      <c r="J61" s="7" t="n"/>
      <c r="K61" s="26" t="n"/>
      <c r="L61" s="7" t="n"/>
      <c r="M61" s="26" t="n"/>
    </row>
    <row r="62">
      <c r="A62" s="26" t="n"/>
      <c r="B62" s="42" t="n"/>
      <c r="C62" s="7" t="n"/>
      <c r="D62" s="23">
        <f>IF(C62="","",IF(ISNUMBER(SEARCH("tiktok",C62)),"TikTok",IF(OR(ISNUMBER(SEARCH("facebook",C62)),ISNUMBER(SEARCH("fb.watch",C62))),"Facebook",IF(OR(ISNUMBER(SEARCH("youtube",C62)),ISNUMBER(SEARCH("youtu.be",C62))),"YouTube",IF(ISNUMBER(SEARCH("instagram",C62)),"Instagram","Khác")))))</f>
        <v/>
      </c>
      <c r="E62" s="7" t="n"/>
      <c r="F62" s="7" t="n"/>
      <c r="G62" s="43" t="n"/>
      <c r="H62" s="7" t="n"/>
      <c r="I62" s="26" t="n"/>
      <c r="J62" s="7" t="n"/>
      <c r="K62" s="26" t="n"/>
      <c r="L62" s="7" t="n"/>
      <c r="M62" s="26" t="n"/>
    </row>
    <row r="63">
      <c r="A63" s="26" t="n"/>
      <c r="B63" s="42" t="n"/>
      <c r="C63" s="7" t="n"/>
      <c r="D63" s="23">
        <f>IF(C63="","",IF(ISNUMBER(SEARCH("tiktok",C63)),"TikTok",IF(OR(ISNUMBER(SEARCH("facebook",C63)),ISNUMBER(SEARCH("fb.watch",C63))),"Facebook",IF(OR(ISNUMBER(SEARCH("youtube",C63)),ISNUMBER(SEARCH("youtu.be",C63))),"YouTube",IF(ISNUMBER(SEARCH("instagram",C63)),"Instagram","Khác")))))</f>
        <v/>
      </c>
      <c r="E63" s="7" t="n"/>
      <c r="F63" s="7" t="n"/>
      <c r="G63" s="43" t="n"/>
      <c r="H63" s="7" t="n"/>
      <c r="I63" s="26" t="n"/>
      <c r="J63" s="7" t="n"/>
      <c r="K63" s="26" t="n"/>
      <c r="L63" s="7" t="n"/>
      <c r="M63" s="26" t="n"/>
    </row>
    <row r="64">
      <c r="A64" s="26" t="n"/>
      <c r="B64" s="42" t="n"/>
      <c r="C64" s="7" t="n"/>
      <c r="D64" s="23">
        <f>IF(C64="","",IF(ISNUMBER(SEARCH("tiktok",C64)),"TikTok",IF(OR(ISNUMBER(SEARCH("facebook",C64)),ISNUMBER(SEARCH("fb.watch",C64))),"Facebook",IF(OR(ISNUMBER(SEARCH("youtube",C64)),ISNUMBER(SEARCH("youtu.be",C64))),"YouTube",IF(ISNUMBER(SEARCH("instagram",C64)),"Instagram","Khác")))))</f>
        <v/>
      </c>
      <c r="E64" s="7" t="n"/>
      <c r="F64" s="7" t="n"/>
      <c r="G64" s="43" t="n"/>
      <c r="H64" s="7" t="n"/>
      <c r="I64" s="26" t="n"/>
      <c r="J64" s="7" t="n"/>
      <c r="K64" s="26" t="n"/>
      <c r="L64" s="7" t="n"/>
      <c r="M64" s="26" t="n"/>
    </row>
    <row r="65">
      <c r="A65" s="26" t="n"/>
      <c r="B65" s="42" t="n"/>
      <c r="C65" s="7" t="n"/>
      <c r="D65" s="23">
        <f>IF(C65="","",IF(ISNUMBER(SEARCH("tiktok",C65)),"TikTok",IF(OR(ISNUMBER(SEARCH("facebook",C65)),ISNUMBER(SEARCH("fb.watch",C65))),"Facebook",IF(OR(ISNUMBER(SEARCH("youtube",C65)),ISNUMBER(SEARCH("youtu.be",C65))),"YouTube",IF(ISNUMBER(SEARCH("instagram",C65)),"Instagram","Khác")))))</f>
        <v/>
      </c>
      <c r="E65" s="7" t="n"/>
      <c r="F65" s="7" t="n"/>
      <c r="G65" s="43" t="n"/>
      <c r="H65" s="7" t="n"/>
      <c r="I65" s="26" t="n"/>
      <c r="J65" s="7" t="n"/>
      <c r="K65" s="26" t="n"/>
      <c r="L65" s="7" t="n"/>
      <c r="M65" s="26" t="n"/>
    </row>
    <row r="66">
      <c r="A66" s="26" t="n"/>
      <c r="B66" s="42" t="n"/>
      <c r="C66" s="7" t="n"/>
      <c r="D66" s="23">
        <f>IF(C66="","",IF(ISNUMBER(SEARCH("tiktok",C66)),"TikTok",IF(OR(ISNUMBER(SEARCH("facebook",C66)),ISNUMBER(SEARCH("fb.watch",C66))),"Facebook",IF(OR(ISNUMBER(SEARCH("youtube",C66)),ISNUMBER(SEARCH("youtu.be",C66))),"YouTube",IF(ISNUMBER(SEARCH("instagram",C66)),"Instagram","Khác")))))</f>
        <v/>
      </c>
      <c r="E66" s="7" t="n"/>
      <c r="F66" s="7" t="n"/>
      <c r="G66" s="43" t="n"/>
      <c r="H66" s="7" t="n"/>
      <c r="I66" s="26" t="n"/>
      <c r="J66" s="7" t="n"/>
      <c r="K66" s="26" t="n"/>
      <c r="L66" s="7" t="n"/>
      <c r="M66" s="26" t="n"/>
    </row>
    <row r="67">
      <c r="A67" s="26" t="n"/>
      <c r="B67" s="42" t="n"/>
      <c r="C67" s="7" t="n"/>
      <c r="D67" s="23">
        <f>IF(C67="","",IF(ISNUMBER(SEARCH("tiktok",C67)),"TikTok",IF(OR(ISNUMBER(SEARCH("facebook",C67)),ISNUMBER(SEARCH("fb.watch",C67))),"Facebook",IF(OR(ISNUMBER(SEARCH("youtube",C67)),ISNUMBER(SEARCH("youtu.be",C67))),"YouTube",IF(ISNUMBER(SEARCH("instagram",C67)),"Instagram","Khác")))))</f>
        <v/>
      </c>
      <c r="E67" s="7" t="n"/>
      <c r="F67" s="7" t="n"/>
      <c r="G67" s="43" t="n"/>
      <c r="H67" s="7" t="n"/>
      <c r="I67" s="26" t="n"/>
      <c r="J67" s="7" t="n"/>
      <c r="K67" s="26" t="n"/>
      <c r="L67" s="7" t="n"/>
      <c r="M67" s="26" t="n"/>
    </row>
    <row r="68">
      <c r="A68" s="26" t="n"/>
      <c r="B68" s="42" t="n"/>
      <c r="C68" s="7" t="n"/>
      <c r="D68" s="23">
        <f>IF(C68="","",IF(ISNUMBER(SEARCH("tiktok",C68)),"TikTok",IF(OR(ISNUMBER(SEARCH("facebook",C68)),ISNUMBER(SEARCH("fb.watch",C68))),"Facebook",IF(OR(ISNUMBER(SEARCH("youtube",C68)),ISNUMBER(SEARCH("youtu.be",C68))),"YouTube",IF(ISNUMBER(SEARCH("instagram",C68)),"Instagram","Khác")))))</f>
        <v/>
      </c>
      <c r="E68" s="7" t="n"/>
      <c r="F68" s="7" t="n"/>
      <c r="G68" s="43" t="n"/>
      <c r="H68" s="7" t="n"/>
      <c r="I68" s="26" t="n"/>
      <c r="J68" s="7" t="n"/>
      <c r="K68" s="26" t="n"/>
      <c r="L68" s="7" t="n"/>
      <c r="M68" s="26" t="n"/>
    </row>
    <row r="69">
      <c r="A69" s="26" t="n"/>
      <c r="B69" s="42" t="n"/>
      <c r="C69" s="7" t="n"/>
      <c r="D69" s="23">
        <f>IF(C69="","",IF(ISNUMBER(SEARCH("tiktok",C69)),"TikTok",IF(OR(ISNUMBER(SEARCH("facebook",C69)),ISNUMBER(SEARCH("fb.watch",C69))),"Facebook",IF(OR(ISNUMBER(SEARCH("youtube",C69)),ISNUMBER(SEARCH("youtu.be",C69))),"YouTube",IF(ISNUMBER(SEARCH("instagram",C69)),"Instagram","Khác")))))</f>
        <v/>
      </c>
      <c r="E69" s="7" t="n"/>
      <c r="F69" s="7" t="n"/>
      <c r="G69" s="43" t="n"/>
      <c r="H69" s="7" t="n"/>
      <c r="I69" s="26" t="n"/>
      <c r="J69" s="7" t="n"/>
      <c r="K69" s="26" t="n"/>
      <c r="L69" s="7" t="n"/>
      <c r="M69" s="26" t="n"/>
    </row>
    <row r="70">
      <c r="A70" s="26" t="n"/>
      <c r="B70" s="42" t="n"/>
      <c r="C70" s="7" t="n"/>
      <c r="D70" s="23">
        <f>IF(C70="","",IF(ISNUMBER(SEARCH("tiktok",C70)),"TikTok",IF(OR(ISNUMBER(SEARCH("facebook",C70)),ISNUMBER(SEARCH("fb.watch",C70))),"Facebook",IF(OR(ISNUMBER(SEARCH("youtube",C70)),ISNUMBER(SEARCH("youtu.be",C70))),"YouTube",IF(ISNUMBER(SEARCH("instagram",C70)),"Instagram","Khác")))))</f>
        <v/>
      </c>
      <c r="E70" s="7" t="n"/>
      <c r="F70" s="7" t="n"/>
      <c r="G70" s="43" t="n"/>
      <c r="H70" s="7" t="n"/>
      <c r="I70" s="26" t="n"/>
      <c r="J70" s="7" t="n"/>
      <c r="K70" s="26" t="n"/>
      <c r="L70" s="7" t="n"/>
      <c r="M70" s="26" t="n"/>
    </row>
    <row r="71">
      <c r="A71" s="26" t="n"/>
      <c r="B71" s="42" t="n"/>
      <c r="C71" s="7" t="n"/>
      <c r="D71" s="23">
        <f>IF(C71="","",IF(ISNUMBER(SEARCH("tiktok",C71)),"TikTok",IF(OR(ISNUMBER(SEARCH("facebook",C71)),ISNUMBER(SEARCH("fb.watch",C71))),"Facebook",IF(OR(ISNUMBER(SEARCH("youtube",C71)),ISNUMBER(SEARCH("youtu.be",C71))),"YouTube",IF(ISNUMBER(SEARCH("instagram",C71)),"Instagram","Khác")))))</f>
        <v/>
      </c>
      <c r="E71" s="7" t="n"/>
      <c r="F71" s="7" t="n"/>
      <c r="G71" s="43" t="n"/>
      <c r="H71" s="7" t="n"/>
      <c r="I71" s="26" t="n"/>
      <c r="J71" s="7" t="n"/>
      <c r="K71" s="26" t="n"/>
      <c r="L71" s="7" t="n"/>
      <c r="M71" s="26" t="n"/>
    </row>
    <row r="72">
      <c r="A72" s="26" t="n"/>
      <c r="B72" s="42" t="n"/>
      <c r="C72" s="7" t="n"/>
      <c r="D72" s="23">
        <f>IF(C72="","",IF(ISNUMBER(SEARCH("tiktok",C72)),"TikTok",IF(OR(ISNUMBER(SEARCH("facebook",C72)),ISNUMBER(SEARCH("fb.watch",C72))),"Facebook",IF(OR(ISNUMBER(SEARCH("youtube",C72)),ISNUMBER(SEARCH("youtu.be",C72))),"YouTube",IF(ISNUMBER(SEARCH("instagram",C72)),"Instagram","Khác")))))</f>
        <v/>
      </c>
      <c r="E72" s="7" t="n"/>
      <c r="F72" s="7" t="n"/>
      <c r="G72" s="43" t="n"/>
      <c r="H72" s="7" t="n"/>
      <c r="I72" s="26" t="n"/>
      <c r="J72" s="7" t="n"/>
      <c r="K72" s="26" t="n"/>
      <c r="L72" s="7" t="n"/>
      <c r="M72" s="26" t="n"/>
    </row>
    <row r="73">
      <c r="A73" s="26" t="n"/>
      <c r="B73" s="42" t="n"/>
      <c r="C73" s="7" t="n"/>
      <c r="D73" s="23">
        <f>IF(C73="","",IF(ISNUMBER(SEARCH("tiktok",C73)),"TikTok",IF(OR(ISNUMBER(SEARCH("facebook",C73)),ISNUMBER(SEARCH("fb.watch",C73))),"Facebook",IF(OR(ISNUMBER(SEARCH("youtube",C73)),ISNUMBER(SEARCH("youtu.be",C73))),"YouTube",IF(ISNUMBER(SEARCH("instagram",C73)),"Instagram","Khác")))))</f>
        <v/>
      </c>
      <c r="E73" s="7" t="n"/>
      <c r="F73" s="7" t="n"/>
      <c r="G73" s="43" t="n"/>
      <c r="H73" s="7" t="n"/>
      <c r="I73" s="26" t="n"/>
      <c r="J73" s="7" t="n"/>
      <c r="K73" s="26" t="n"/>
      <c r="L73" s="7" t="n"/>
      <c r="M73" s="26" t="n"/>
    </row>
    <row r="74">
      <c r="A74" s="26" t="n"/>
      <c r="B74" s="42" t="n"/>
      <c r="C74" s="7" t="n"/>
      <c r="D74" s="23">
        <f>IF(C74="","",IF(ISNUMBER(SEARCH("tiktok",C74)),"TikTok",IF(OR(ISNUMBER(SEARCH("facebook",C74)),ISNUMBER(SEARCH("fb.watch",C74))),"Facebook",IF(OR(ISNUMBER(SEARCH("youtube",C74)),ISNUMBER(SEARCH("youtu.be",C74))),"YouTube",IF(ISNUMBER(SEARCH("instagram",C74)),"Instagram","Khác")))))</f>
        <v/>
      </c>
      <c r="E74" s="7" t="n"/>
      <c r="F74" s="7" t="n"/>
      <c r="G74" s="43" t="n"/>
      <c r="H74" s="7" t="n"/>
      <c r="I74" s="26" t="n"/>
      <c r="J74" s="7" t="n"/>
      <c r="K74" s="26" t="n"/>
      <c r="L74" s="7" t="n"/>
      <c r="M74" s="26" t="n"/>
    </row>
    <row r="75">
      <c r="A75" s="26" t="n"/>
      <c r="B75" s="42" t="n"/>
      <c r="C75" s="7" t="n"/>
      <c r="D75" s="23">
        <f>IF(C75="","",IF(ISNUMBER(SEARCH("tiktok",C75)),"TikTok",IF(OR(ISNUMBER(SEARCH("facebook",C75)),ISNUMBER(SEARCH("fb.watch",C75))),"Facebook",IF(OR(ISNUMBER(SEARCH("youtube",C75)),ISNUMBER(SEARCH("youtu.be",C75))),"YouTube",IF(ISNUMBER(SEARCH("instagram",C75)),"Instagram","Khác")))))</f>
        <v/>
      </c>
      <c r="E75" s="7" t="n"/>
      <c r="F75" s="7" t="n"/>
      <c r="G75" s="43" t="n"/>
      <c r="H75" s="7" t="n"/>
      <c r="I75" s="26" t="n"/>
      <c r="J75" s="7" t="n"/>
      <c r="K75" s="26" t="n"/>
      <c r="L75" s="7" t="n"/>
      <c r="M75" s="26" t="n"/>
    </row>
    <row r="76">
      <c r="A76" s="26" t="n"/>
      <c r="B76" s="42" t="n"/>
      <c r="C76" s="7" t="n"/>
      <c r="D76" s="23">
        <f>IF(C76="","",IF(ISNUMBER(SEARCH("tiktok",C76)),"TikTok",IF(OR(ISNUMBER(SEARCH("facebook",C76)),ISNUMBER(SEARCH("fb.watch",C76))),"Facebook",IF(OR(ISNUMBER(SEARCH("youtube",C76)),ISNUMBER(SEARCH("youtu.be",C76))),"YouTube",IF(ISNUMBER(SEARCH("instagram",C76)),"Instagram","Khác")))))</f>
        <v/>
      </c>
      <c r="E76" s="7" t="n"/>
      <c r="F76" s="7" t="n"/>
      <c r="G76" s="43" t="n"/>
      <c r="H76" s="7" t="n"/>
      <c r="I76" s="26" t="n"/>
      <c r="J76" s="7" t="n"/>
      <c r="K76" s="26" t="n"/>
      <c r="L76" s="7" t="n"/>
      <c r="M76" s="26" t="n"/>
    </row>
    <row r="77">
      <c r="A77" s="26" t="n"/>
      <c r="B77" s="42" t="n"/>
      <c r="C77" s="7" t="n"/>
      <c r="D77" s="23">
        <f>IF(C77="","",IF(ISNUMBER(SEARCH("tiktok",C77)),"TikTok",IF(OR(ISNUMBER(SEARCH("facebook",C77)),ISNUMBER(SEARCH("fb.watch",C77))),"Facebook",IF(OR(ISNUMBER(SEARCH("youtube",C77)),ISNUMBER(SEARCH("youtu.be",C77))),"YouTube",IF(ISNUMBER(SEARCH("instagram",C77)),"Instagram","Khác")))))</f>
        <v/>
      </c>
      <c r="E77" s="7" t="n"/>
      <c r="F77" s="7" t="n"/>
      <c r="G77" s="43" t="n"/>
      <c r="H77" s="7" t="n"/>
      <c r="I77" s="26" t="n"/>
      <c r="J77" s="7" t="n"/>
      <c r="K77" s="26" t="n"/>
      <c r="L77" s="7" t="n"/>
      <c r="M77" s="26" t="n"/>
    </row>
    <row r="78">
      <c r="A78" s="26" t="n"/>
      <c r="B78" s="42" t="n"/>
      <c r="C78" s="7" t="n"/>
      <c r="D78" s="23">
        <f>IF(C78="","",IF(ISNUMBER(SEARCH("tiktok",C78)),"TikTok",IF(OR(ISNUMBER(SEARCH("facebook",C78)),ISNUMBER(SEARCH("fb.watch",C78))),"Facebook",IF(OR(ISNUMBER(SEARCH("youtube",C78)),ISNUMBER(SEARCH("youtu.be",C78))),"YouTube",IF(ISNUMBER(SEARCH("instagram",C78)),"Instagram","Khác")))))</f>
        <v/>
      </c>
      <c r="E78" s="7" t="n"/>
      <c r="F78" s="7" t="n"/>
      <c r="G78" s="43" t="n"/>
      <c r="H78" s="7" t="n"/>
      <c r="I78" s="26" t="n"/>
      <c r="J78" s="7" t="n"/>
      <c r="K78" s="26" t="n"/>
      <c r="L78" s="7" t="n"/>
      <c r="M78" s="26" t="n"/>
    </row>
    <row r="79">
      <c r="A79" s="26" t="n"/>
      <c r="B79" s="42" t="n"/>
      <c r="C79" s="7" t="n"/>
      <c r="D79" s="23">
        <f>IF(C79="","",IF(ISNUMBER(SEARCH("tiktok",C79)),"TikTok",IF(OR(ISNUMBER(SEARCH("facebook",C79)),ISNUMBER(SEARCH("fb.watch",C79))),"Facebook",IF(OR(ISNUMBER(SEARCH("youtube",C79)),ISNUMBER(SEARCH("youtu.be",C79))),"YouTube",IF(ISNUMBER(SEARCH("instagram",C79)),"Instagram","Khác")))))</f>
        <v/>
      </c>
      <c r="E79" s="7" t="n"/>
      <c r="F79" s="7" t="n"/>
      <c r="G79" s="43" t="n"/>
      <c r="H79" s="7" t="n"/>
      <c r="I79" s="26" t="n"/>
      <c r="J79" s="7" t="n"/>
      <c r="K79" s="26" t="n"/>
      <c r="L79" s="7" t="n"/>
      <c r="M79" s="26" t="n"/>
    </row>
    <row r="80">
      <c r="A80" s="26" t="n"/>
      <c r="B80" s="42" t="n"/>
      <c r="C80" s="7" t="n"/>
      <c r="D80" s="23">
        <f>IF(C80="","",IF(ISNUMBER(SEARCH("tiktok",C80)),"TikTok",IF(OR(ISNUMBER(SEARCH("facebook",C80)),ISNUMBER(SEARCH("fb.watch",C80))),"Facebook",IF(OR(ISNUMBER(SEARCH("youtube",C80)),ISNUMBER(SEARCH("youtu.be",C80))),"YouTube",IF(ISNUMBER(SEARCH("instagram",C80)),"Instagram","Khác")))))</f>
        <v/>
      </c>
      <c r="E80" s="7" t="n"/>
      <c r="F80" s="7" t="n"/>
      <c r="G80" s="43" t="n"/>
      <c r="H80" s="7" t="n"/>
      <c r="I80" s="26" t="n"/>
      <c r="J80" s="7" t="n"/>
      <c r="K80" s="26" t="n"/>
      <c r="L80" s="7" t="n"/>
      <c r="M80" s="26" t="n"/>
    </row>
    <row r="81">
      <c r="A81" s="26" t="n"/>
      <c r="B81" s="42" t="n"/>
      <c r="C81" s="7" t="n"/>
      <c r="D81" s="23">
        <f>IF(C81="","",IF(ISNUMBER(SEARCH("tiktok",C81)),"TikTok",IF(OR(ISNUMBER(SEARCH("facebook",C81)),ISNUMBER(SEARCH("fb.watch",C81))),"Facebook",IF(OR(ISNUMBER(SEARCH("youtube",C81)),ISNUMBER(SEARCH("youtu.be",C81))),"YouTube",IF(ISNUMBER(SEARCH("instagram",C81)),"Instagram","Khác")))))</f>
        <v/>
      </c>
      <c r="E81" s="7" t="n"/>
      <c r="F81" s="7" t="n"/>
      <c r="G81" s="43" t="n"/>
      <c r="H81" s="7" t="n"/>
      <c r="I81" s="26" t="n"/>
      <c r="J81" s="7" t="n"/>
      <c r="K81" s="26" t="n"/>
      <c r="L81" s="7" t="n"/>
      <c r="M81" s="26" t="n"/>
    </row>
    <row r="82">
      <c r="A82" s="26" t="n"/>
      <c r="B82" s="42" t="n"/>
      <c r="C82" s="7" t="n"/>
      <c r="D82" s="23">
        <f>IF(C82="","",IF(ISNUMBER(SEARCH("tiktok",C82)),"TikTok",IF(OR(ISNUMBER(SEARCH("facebook",C82)),ISNUMBER(SEARCH("fb.watch",C82))),"Facebook",IF(OR(ISNUMBER(SEARCH("youtube",C82)),ISNUMBER(SEARCH("youtu.be",C82))),"YouTube",IF(ISNUMBER(SEARCH("instagram",C82)),"Instagram","Khác")))))</f>
        <v/>
      </c>
      <c r="E82" s="7" t="n"/>
      <c r="F82" s="7" t="n"/>
      <c r="G82" s="43" t="n"/>
      <c r="H82" s="7" t="n"/>
      <c r="I82" s="26" t="n"/>
      <c r="J82" s="7" t="n"/>
      <c r="K82" s="26" t="n"/>
      <c r="L82" s="7" t="n"/>
      <c r="M82" s="26" t="n"/>
    </row>
    <row r="83">
      <c r="A83" s="26" t="n"/>
      <c r="B83" s="42" t="n"/>
      <c r="C83" s="7" t="n"/>
      <c r="D83" s="23">
        <f>IF(C83="","",IF(ISNUMBER(SEARCH("tiktok",C83)),"TikTok",IF(OR(ISNUMBER(SEARCH("facebook",C83)),ISNUMBER(SEARCH("fb.watch",C83))),"Facebook",IF(OR(ISNUMBER(SEARCH("youtube",C83)),ISNUMBER(SEARCH("youtu.be",C83))),"YouTube",IF(ISNUMBER(SEARCH("instagram",C83)),"Instagram","Khác")))))</f>
        <v/>
      </c>
      <c r="E83" s="7" t="n"/>
      <c r="F83" s="7" t="n"/>
      <c r="G83" s="43" t="n"/>
      <c r="H83" s="7" t="n"/>
      <c r="I83" s="26" t="n"/>
      <c r="J83" s="7" t="n"/>
      <c r="K83" s="26" t="n"/>
      <c r="L83" s="7" t="n"/>
      <c r="M83" s="26" t="n"/>
    </row>
    <row r="84">
      <c r="A84" s="26" t="n"/>
      <c r="B84" s="42" t="n"/>
      <c r="C84" s="7" t="n"/>
      <c r="D84" s="23">
        <f>IF(C84="","",IF(ISNUMBER(SEARCH("tiktok",C84)),"TikTok",IF(OR(ISNUMBER(SEARCH("facebook",C84)),ISNUMBER(SEARCH("fb.watch",C84))),"Facebook",IF(OR(ISNUMBER(SEARCH("youtube",C84)),ISNUMBER(SEARCH("youtu.be",C84))),"YouTube",IF(ISNUMBER(SEARCH("instagram",C84)),"Instagram","Khác")))))</f>
        <v/>
      </c>
      <c r="E84" s="7" t="n"/>
      <c r="F84" s="7" t="n"/>
      <c r="G84" s="43" t="n"/>
      <c r="H84" s="7" t="n"/>
      <c r="I84" s="26" t="n"/>
      <c r="J84" s="7" t="n"/>
      <c r="K84" s="26" t="n"/>
      <c r="L84" s="7" t="n"/>
      <c r="M84" s="26" t="n"/>
    </row>
    <row r="85">
      <c r="A85" s="26" t="n"/>
      <c r="B85" s="42" t="n"/>
      <c r="C85" s="7" t="n"/>
      <c r="D85" s="23">
        <f>IF(C85="","",IF(ISNUMBER(SEARCH("tiktok",C85)),"TikTok",IF(OR(ISNUMBER(SEARCH("facebook",C85)),ISNUMBER(SEARCH("fb.watch",C85))),"Facebook",IF(OR(ISNUMBER(SEARCH("youtube",C85)),ISNUMBER(SEARCH("youtu.be",C85))),"YouTube",IF(ISNUMBER(SEARCH("instagram",C85)),"Instagram","Khác")))))</f>
        <v/>
      </c>
      <c r="E85" s="7" t="n"/>
      <c r="F85" s="7" t="n"/>
      <c r="G85" s="43" t="n"/>
      <c r="H85" s="7" t="n"/>
      <c r="I85" s="26" t="n"/>
      <c r="J85" s="7" t="n"/>
      <c r="K85" s="26" t="n"/>
      <c r="L85" s="7" t="n"/>
      <c r="M85" s="26" t="n"/>
    </row>
    <row r="86">
      <c r="A86" s="26" t="n"/>
      <c r="B86" s="42" t="n"/>
      <c r="C86" s="7" t="n"/>
      <c r="D86" s="23">
        <f>IF(C86="","",IF(ISNUMBER(SEARCH("tiktok",C86)),"TikTok",IF(OR(ISNUMBER(SEARCH("facebook",C86)),ISNUMBER(SEARCH("fb.watch",C86))),"Facebook",IF(OR(ISNUMBER(SEARCH("youtube",C86)),ISNUMBER(SEARCH("youtu.be",C86))),"YouTube",IF(ISNUMBER(SEARCH("instagram",C86)),"Instagram","Khác")))))</f>
        <v/>
      </c>
      <c r="E86" s="7" t="n"/>
      <c r="F86" s="7" t="n"/>
      <c r="G86" s="43" t="n"/>
      <c r="H86" s="7" t="n"/>
      <c r="I86" s="26" t="n"/>
      <c r="J86" s="7" t="n"/>
      <c r="K86" s="26" t="n"/>
      <c r="L86" s="7" t="n"/>
      <c r="M86" s="26" t="n"/>
    </row>
    <row r="87">
      <c r="A87" s="26" t="n"/>
      <c r="B87" s="42" t="n"/>
      <c r="C87" s="7" t="n"/>
      <c r="D87" s="23">
        <f>IF(C87="","",IF(ISNUMBER(SEARCH("tiktok",C87)),"TikTok",IF(OR(ISNUMBER(SEARCH("facebook",C87)),ISNUMBER(SEARCH("fb.watch",C87))),"Facebook",IF(OR(ISNUMBER(SEARCH("youtube",C87)),ISNUMBER(SEARCH("youtu.be",C87))),"YouTube",IF(ISNUMBER(SEARCH("instagram",C87)),"Instagram","Khác")))))</f>
        <v/>
      </c>
      <c r="E87" s="7" t="n"/>
      <c r="F87" s="7" t="n"/>
      <c r="G87" s="43" t="n"/>
      <c r="H87" s="7" t="n"/>
      <c r="I87" s="26" t="n"/>
      <c r="J87" s="7" t="n"/>
      <c r="K87" s="26" t="n"/>
      <c r="L87" s="7" t="n"/>
      <c r="M87" s="26" t="n"/>
    </row>
    <row r="88">
      <c r="A88" s="26" t="n"/>
      <c r="B88" s="42" t="n"/>
      <c r="C88" s="7" t="n"/>
      <c r="D88" s="23">
        <f>IF(C88="","",IF(ISNUMBER(SEARCH("tiktok",C88)),"TikTok",IF(OR(ISNUMBER(SEARCH("facebook",C88)),ISNUMBER(SEARCH("fb.watch",C88))),"Facebook",IF(OR(ISNUMBER(SEARCH("youtube",C88)),ISNUMBER(SEARCH("youtu.be",C88))),"YouTube",IF(ISNUMBER(SEARCH("instagram",C88)),"Instagram","Khác")))))</f>
        <v/>
      </c>
      <c r="E88" s="7" t="n"/>
      <c r="F88" s="7" t="n"/>
      <c r="G88" s="43" t="n"/>
      <c r="H88" s="7" t="n"/>
      <c r="I88" s="26" t="n"/>
      <c r="J88" s="7" t="n"/>
      <c r="K88" s="26" t="n"/>
      <c r="L88" s="7" t="n"/>
      <c r="M88" s="26" t="n"/>
    </row>
    <row r="89">
      <c r="A89" s="26" t="n"/>
      <c r="B89" s="42" t="n"/>
      <c r="C89" s="7" t="n"/>
      <c r="D89" s="23">
        <f>IF(C89="","",IF(ISNUMBER(SEARCH("tiktok",C89)),"TikTok",IF(OR(ISNUMBER(SEARCH("facebook",C89)),ISNUMBER(SEARCH("fb.watch",C89))),"Facebook",IF(OR(ISNUMBER(SEARCH("youtube",C89)),ISNUMBER(SEARCH("youtu.be",C89))),"YouTube",IF(ISNUMBER(SEARCH("instagram",C89)),"Instagram","Khác")))))</f>
        <v/>
      </c>
      <c r="E89" s="7" t="n"/>
      <c r="F89" s="7" t="n"/>
      <c r="G89" s="43" t="n"/>
      <c r="H89" s="7" t="n"/>
      <c r="I89" s="26" t="n"/>
      <c r="J89" s="7" t="n"/>
      <c r="K89" s="26" t="n"/>
      <c r="L89" s="7" t="n"/>
      <c r="M89" s="26" t="n"/>
    </row>
    <row r="90">
      <c r="A90" s="26" t="n"/>
      <c r="B90" s="42" t="n"/>
      <c r="C90" s="7" t="n"/>
      <c r="D90" s="23">
        <f>IF(C90="","",IF(ISNUMBER(SEARCH("tiktok",C90)),"TikTok",IF(OR(ISNUMBER(SEARCH("facebook",C90)),ISNUMBER(SEARCH("fb.watch",C90))),"Facebook",IF(OR(ISNUMBER(SEARCH("youtube",C90)),ISNUMBER(SEARCH("youtu.be",C90))),"YouTube",IF(ISNUMBER(SEARCH("instagram",C90)),"Instagram","Khác")))))</f>
        <v/>
      </c>
      <c r="E90" s="7" t="n"/>
      <c r="F90" s="7" t="n"/>
      <c r="G90" s="43" t="n"/>
      <c r="H90" s="7" t="n"/>
      <c r="I90" s="26" t="n"/>
      <c r="J90" s="7" t="n"/>
      <c r="K90" s="26" t="n"/>
      <c r="L90" s="7" t="n"/>
      <c r="M90" s="26" t="n"/>
    </row>
    <row r="91">
      <c r="A91" s="26" t="n"/>
      <c r="B91" s="42" t="n"/>
      <c r="C91" s="7" t="n"/>
      <c r="D91" s="23">
        <f>IF(C91="","",IF(ISNUMBER(SEARCH("tiktok",C91)),"TikTok",IF(OR(ISNUMBER(SEARCH("facebook",C91)),ISNUMBER(SEARCH("fb.watch",C91))),"Facebook",IF(OR(ISNUMBER(SEARCH("youtube",C91)),ISNUMBER(SEARCH("youtu.be",C91))),"YouTube",IF(ISNUMBER(SEARCH("instagram",C91)),"Instagram","Khác")))))</f>
        <v/>
      </c>
      <c r="E91" s="7" t="n"/>
      <c r="F91" s="7" t="n"/>
      <c r="G91" s="43" t="n"/>
      <c r="H91" s="7" t="n"/>
      <c r="I91" s="26" t="n"/>
      <c r="J91" s="7" t="n"/>
      <c r="K91" s="26" t="n"/>
      <c r="L91" s="7" t="n"/>
      <c r="M91" s="26" t="n"/>
    </row>
    <row r="92">
      <c r="A92" s="26" t="n"/>
      <c r="B92" s="42" t="n"/>
      <c r="C92" s="7" t="n"/>
      <c r="D92" s="23">
        <f>IF(C92="","",IF(ISNUMBER(SEARCH("tiktok",C92)),"TikTok",IF(OR(ISNUMBER(SEARCH("facebook",C92)),ISNUMBER(SEARCH("fb.watch",C92))),"Facebook",IF(OR(ISNUMBER(SEARCH("youtube",C92)),ISNUMBER(SEARCH("youtu.be",C92))),"YouTube",IF(ISNUMBER(SEARCH("instagram",C92)),"Instagram","Khác")))))</f>
        <v/>
      </c>
      <c r="E92" s="7" t="n"/>
      <c r="F92" s="7" t="n"/>
      <c r="G92" s="43" t="n"/>
      <c r="H92" s="7" t="n"/>
      <c r="I92" s="26" t="n"/>
      <c r="J92" s="7" t="n"/>
      <c r="K92" s="26" t="n"/>
      <c r="L92" s="7" t="n"/>
      <c r="M92" s="26" t="n"/>
    </row>
    <row r="93">
      <c r="A93" s="26" t="n"/>
      <c r="B93" s="42" t="n"/>
      <c r="C93" s="7" t="n"/>
      <c r="D93" s="23">
        <f>IF(C93="","",IF(ISNUMBER(SEARCH("tiktok",C93)),"TikTok",IF(OR(ISNUMBER(SEARCH("facebook",C93)),ISNUMBER(SEARCH("fb.watch",C93))),"Facebook",IF(OR(ISNUMBER(SEARCH("youtube",C93)),ISNUMBER(SEARCH("youtu.be",C93))),"YouTube",IF(ISNUMBER(SEARCH("instagram",C93)),"Instagram","Khác")))))</f>
        <v/>
      </c>
      <c r="E93" s="7" t="n"/>
      <c r="F93" s="7" t="n"/>
      <c r="G93" s="43" t="n"/>
      <c r="H93" s="7" t="n"/>
      <c r="I93" s="26" t="n"/>
      <c r="J93" s="7" t="n"/>
      <c r="K93" s="26" t="n"/>
      <c r="L93" s="7" t="n"/>
      <c r="M93" s="26" t="n"/>
    </row>
    <row r="94">
      <c r="A94" s="26" t="n"/>
      <c r="B94" s="42" t="n"/>
      <c r="C94" s="7" t="n"/>
      <c r="D94" s="23">
        <f>IF(C94="","",IF(ISNUMBER(SEARCH("tiktok",C94)),"TikTok",IF(OR(ISNUMBER(SEARCH("facebook",C94)),ISNUMBER(SEARCH("fb.watch",C94))),"Facebook",IF(OR(ISNUMBER(SEARCH("youtube",C94)),ISNUMBER(SEARCH("youtu.be",C94))),"YouTube",IF(ISNUMBER(SEARCH("instagram",C94)),"Instagram","Khác")))))</f>
        <v/>
      </c>
      <c r="E94" s="7" t="n"/>
      <c r="F94" s="7" t="n"/>
      <c r="G94" s="43" t="n"/>
      <c r="H94" s="7" t="n"/>
      <c r="I94" s="26" t="n"/>
      <c r="J94" s="7" t="n"/>
      <c r="K94" s="26" t="n"/>
      <c r="L94" s="7" t="n"/>
      <c r="M94" s="26" t="n"/>
    </row>
    <row r="95">
      <c r="A95" s="26" t="n"/>
      <c r="B95" s="42" t="n"/>
      <c r="C95" s="7" t="n"/>
      <c r="D95" s="23">
        <f>IF(C95="","",IF(ISNUMBER(SEARCH("tiktok",C95)),"TikTok",IF(OR(ISNUMBER(SEARCH("facebook",C95)),ISNUMBER(SEARCH("fb.watch",C95))),"Facebook",IF(OR(ISNUMBER(SEARCH("youtube",C95)),ISNUMBER(SEARCH("youtu.be",C95))),"YouTube",IF(ISNUMBER(SEARCH("instagram",C95)),"Instagram","Khác")))))</f>
        <v/>
      </c>
      <c r="E95" s="7" t="n"/>
      <c r="F95" s="7" t="n"/>
      <c r="G95" s="43" t="n"/>
      <c r="H95" s="7" t="n"/>
      <c r="I95" s="26" t="n"/>
      <c r="J95" s="7" t="n"/>
      <c r="K95" s="26" t="n"/>
      <c r="L95" s="7" t="n"/>
      <c r="M95" s="26" t="n"/>
    </row>
    <row r="96">
      <c r="A96" s="26" t="n"/>
      <c r="B96" s="42" t="n"/>
      <c r="C96" s="7" t="n"/>
      <c r="D96" s="23">
        <f>IF(C96="","",IF(ISNUMBER(SEARCH("tiktok",C96)),"TikTok",IF(OR(ISNUMBER(SEARCH("facebook",C96)),ISNUMBER(SEARCH("fb.watch",C96))),"Facebook",IF(OR(ISNUMBER(SEARCH("youtube",C96)),ISNUMBER(SEARCH("youtu.be",C96))),"YouTube",IF(ISNUMBER(SEARCH("instagram",C96)),"Instagram","Khác")))))</f>
        <v/>
      </c>
      <c r="E96" s="7" t="n"/>
      <c r="F96" s="7" t="n"/>
      <c r="G96" s="43" t="n"/>
      <c r="H96" s="7" t="n"/>
      <c r="I96" s="26" t="n"/>
      <c r="J96" s="7" t="n"/>
      <c r="K96" s="26" t="n"/>
      <c r="L96" s="7" t="n"/>
      <c r="M96" s="26" t="n"/>
    </row>
    <row r="97">
      <c r="A97" s="26" t="n"/>
      <c r="B97" s="42" t="n"/>
      <c r="C97" s="7" t="n"/>
      <c r="D97" s="23">
        <f>IF(C97="","",IF(ISNUMBER(SEARCH("tiktok",C97)),"TikTok",IF(OR(ISNUMBER(SEARCH("facebook",C97)),ISNUMBER(SEARCH("fb.watch",C97))),"Facebook",IF(OR(ISNUMBER(SEARCH("youtube",C97)),ISNUMBER(SEARCH("youtu.be",C97))),"YouTube",IF(ISNUMBER(SEARCH("instagram",C97)),"Instagram","Khác")))))</f>
        <v/>
      </c>
      <c r="E97" s="7" t="n"/>
      <c r="F97" s="7" t="n"/>
      <c r="G97" s="43" t="n"/>
      <c r="H97" s="7" t="n"/>
      <c r="I97" s="26" t="n"/>
      <c r="J97" s="7" t="n"/>
      <c r="K97" s="26" t="n"/>
      <c r="L97" s="7" t="n"/>
      <c r="M97" s="26" t="n"/>
    </row>
    <row r="98">
      <c r="A98" s="26" t="n"/>
      <c r="B98" s="42" t="n"/>
      <c r="C98" s="7" t="n"/>
      <c r="D98" s="23">
        <f>IF(C98="","",IF(ISNUMBER(SEARCH("tiktok",C98)),"TikTok",IF(OR(ISNUMBER(SEARCH("facebook",C98)),ISNUMBER(SEARCH("fb.watch",C98))),"Facebook",IF(OR(ISNUMBER(SEARCH("youtube",C98)),ISNUMBER(SEARCH("youtu.be",C98))),"YouTube",IF(ISNUMBER(SEARCH("instagram",C98)),"Instagram","Khác")))))</f>
        <v/>
      </c>
      <c r="E98" s="7" t="n"/>
      <c r="F98" s="7" t="n"/>
      <c r="G98" s="43" t="n"/>
      <c r="H98" s="7" t="n"/>
      <c r="I98" s="26" t="n"/>
      <c r="J98" s="7" t="n"/>
      <c r="K98" s="26" t="n"/>
      <c r="L98" s="7" t="n"/>
      <c r="M98" s="26" t="n"/>
    </row>
    <row r="99">
      <c r="A99" s="26" t="n"/>
      <c r="B99" s="42" t="n"/>
      <c r="C99" s="7" t="n"/>
      <c r="D99" s="23">
        <f>IF(C99="","",IF(ISNUMBER(SEARCH("tiktok",C99)),"TikTok",IF(OR(ISNUMBER(SEARCH("facebook",C99)),ISNUMBER(SEARCH("fb.watch",C99))),"Facebook",IF(OR(ISNUMBER(SEARCH("youtube",C99)),ISNUMBER(SEARCH("youtu.be",C99))),"YouTube",IF(ISNUMBER(SEARCH("instagram",C99)),"Instagram","Khác")))))</f>
        <v/>
      </c>
      <c r="E99" s="7" t="n"/>
      <c r="F99" s="7" t="n"/>
      <c r="G99" s="43" t="n"/>
      <c r="H99" s="7" t="n"/>
      <c r="I99" s="26" t="n"/>
      <c r="J99" s="7" t="n"/>
      <c r="K99" s="26" t="n"/>
      <c r="L99" s="7" t="n"/>
      <c r="M99" s="26" t="n"/>
    </row>
    <row r="100">
      <c r="A100" s="26" t="n"/>
      <c r="B100" s="42" t="n"/>
      <c r="C100" s="7" t="n"/>
      <c r="D100" s="23">
        <f>IF(C100="","",IF(ISNUMBER(SEARCH("tiktok",C100)),"TikTok",IF(OR(ISNUMBER(SEARCH("facebook",C100)),ISNUMBER(SEARCH("fb.watch",C100))),"Facebook",IF(OR(ISNUMBER(SEARCH("youtube",C100)),ISNUMBER(SEARCH("youtu.be",C100))),"YouTube",IF(ISNUMBER(SEARCH("instagram",C100)),"Instagram","Khác")))))</f>
        <v/>
      </c>
      <c r="E100" s="7" t="n"/>
      <c r="F100" s="7" t="n"/>
      <c r="G100" s="43" t="n"/>
      <c r="H100" s="7" t="n"/>
      <c r="I100" s="26" t="n"/>
      <c r="J100" s="7" t="n"/>
      <c r="K100" s="26" t="n"/>
      <c r="L100" s="7" t="n"/>
      <c r="M100" s="26" t="n"/>
    </row>
    <row r="101">
      <c r="A101" s="26" t="n"/>
      <c r="B101" s="42" t="n"/>
      <c r="C101" s="7" t="n"/>
      <c r="D101" s="23">
        <f>IF(C101="","",IF(ISNUMBER(SEARCH("tiktok",C101)),"TikTok",IF(OR(ISNUMBER(SEARCH("facebook",C101)),ISNUMBER(SEARCH("fb.watch",C101))),"Facebook",IF(OR(ISNUMBER(SEARCH("youtube",C101)),ISNUMBER(SEARCH("youtu.be",C101))),"YouTube",IF(ISNUMBER(SEARCH("instagram",C101)),"Instagram","Khác")))))</f>
        <v/>
      </c>
      <c r="E101" s="7" t="n"/>
      <c r="F101" s="7" t="n"/>
      <c r="G101" s="43" t="n"/>
      <c r="H101" s="7" t="n"/>
      <c r="I101" s="26" t="n"/>
      <c r="J101" s="7" t="n"/>
      <c r="K101" s="26" t="n"/>
      <c r="L101" s="7" t="n"/>
      <c r="M101" s="26" t="n"/>
    </row>
    <row r="102">
      <c r="A102" s="26" t="n"/>
      <c r="B102" s="42" t="n"/>
      <c r="C102" s="7" t="n"/>
      <c r="D102" s="23">
        <f>IF(C102="","",IF(ISNUMBER(SEARCH("tiktok",C102)),"TikTok",IF(OR(ISNUMBER(SEARCH("facebook",C102)),ISNUMBER(SEARCH("fb.watch",C102))),"Facebook",IF(OR(ISNUMBER(SEARCH("youtube",C102)),ISNUMBER(SEARCH("youtu.be",C102))),"YouTube",IF(ISNUMBER(SEARCH("instagram",C102)),"Instagram","Khác")))))</f>
        <v/>
      </c>
      <c r="E102" s="7" t="n"/>
      <c r="F102" s="7" t="n"/>
      <c r="G102" s="43" t="n"/>
      <c r="H102" s="7" t="n"/>
      <c r="I102" s="26" t="n"/>
      <c r="J102" s="7" t="n"/>
      <c r="K102" s="26" t="n"/>
      <c r="L102" s="7" t="n"/>
      <c r="M102" s="26" t="n"/>
    </row>
    <row r="103">
      <c r="A103" s="26" t="n"/>
      <c r="B103" s="42" t="n"/>
      <c r="C103" s="7" t="n"/>
      <c r="D103" s="23">
        <f>IF(C103="","",IF(ISNUMBER(SEARCH("tiktok",C103)),"TikTok",IF(OR(ISNUMBER(SEARCH("facebook",C103)),ISNUMBER(SEARCH("fb.watch",C103))),"Facebook",IF(OR(ISNUMBER(SEARCH("youtube",C103)),ISNUMBER(SEARCH("youtu.be",C103))),"YouTube",IF(ISNUMBER(SEARCH("instagram",C103)),"Instagram","Khác")))))</f>
        <v/>
      </c>
      <c r="E103" s="7" t="n"/>
      <c r="F103" s="7" t="n"/>
      <c r="G103" s="43" t="n"/>
      <c r="H103" s="7" t="n"/>
      <c r="I103" s="26" t="n"/>
      <c r="J103" s="7" t="n"/>
      <c r="K103" s="26" t="n"/>
      <c r="L103" s="7" t="n"/>
      <c r="M103" s="26" t="n"/>
    </row>
    <row r="104">
      <c r="A104" s="26" t="n"/>
      <c r="B104" s="42" t="n"/>
      <c r="C104" s="7" t="n"/>
      <c r="D104" s="23">
        <f>IF(C104="","",IF(ISNUMBER(SEARCH("tiktok",C104)),"TikTok",IF(OR(ISNUMBER(SEARCH("facebook",C104)),ISNUMBER(SEARCH("fb.watch",C104))),"Facebook",IF(OR(ISNUMBER(SEARCH("youtube",C104)),ISNUMBER(SEARCH("youtu.be",C104))),"YouTube",IF(ISNUMBER(SEARCH("instagram",C104)),"Instagram","Khác")))))</f>
        <v/>
      </c>
      <c r="E104" s="7" t="n"/>
      <c r="F104" s="7" t="n"/>
      <c r="G104" s="43" t="n"/>
      <c r="H104" s="7" t="n"/>
      <c r="I104" s="26" t="n"/>
      <c r="J104" s="7" t="n"/>
      <c r="K104" s="26" t="n"/>
      <c r="L104" s="7" t="n"/>
      <c r="M104" s="26" t="n"/>
    </row>
    <row r="105">
      <c r="A105" s="26" t="n"/>
      <c r="B105" s="42" t="n"/>
      <c r="C105" s="7" t="n"/>
      <c r="D105" s="23">
        <f>IF(C105="","",IF(ISNUMBER(SEARCH("tiktok",C105)),"TikTok",IF(OR(ISNUMBER(SEARCH("facebook",C105)),ISNUMBER(SEARCH("fb.watch",C105))),"Facebook",IF(OR(ISNUMBER(SEARCH("youtube",C105)),ISNUMBER(SEARCH("youtu.be",C105))),"YouTube",IF(ISNUMBER(SEARCH("instagram",C105)),"Instagram","Khác")))))</f>
        <v/>
      </c>
      <c r="E105" s="7" t="n"/>
      <c r="F105" s="7" t="n"/>
      <c r="G105" s="43" t="n"/>
      <c r="H105" s="7" t="n"/>
      <c r="I105" s="26" t="n"/>
      <c r="J105" s="7" t="n"/>
      <c r="K105" s="26" t="n"/>
      <c r="L105" s="7" t="n"/>
      <c r="M105" s="26" t="n"/>
    </row>
    <row r="106">
      <c r="A106" s="26" t="n"/>
      <c r="B106" s="42" t="n"/>
      <c r="C106" s="7" t="n"/>
      <c r="D106" s="23">
        <f>IF(C106="","",IF(ISNUMBER(SEARCH("tiktok",C106)),"TikTok",IF(OR(ISNUMBER(SEARCH("facebook",C106)),ISNUMBER(SEARCH("fb.watch",C106))),"Facebook",IF(OR(ISNUMBER(SEARCH("youtube",C106)),ISNUMBER(SEARCH("youtu.be",C106))),"YouTube",IF(ISNUMBER(SEARCH("instagram",C106)),"Instagram","Khác")))))</f>
        <v/>
      </c>
      <c r="E106" s="7" t="n"/>
      <c r="F106" s="7" t="n"/>
      <c r="G106" s="43" t="n"/>
      <c r="H106" s="7" t="n"/>
      <c r="I106" s="26" t="n"/>
      <c r="J106" s="7" t="n"/>
      <c r="K106" s="26" t="n"/>
      <c r="L106" s="7" t="n"/>
      <c r="M106" s="26" t="n"/>
    </row>
    <row r="107">
      <c r="A107" s="26" t="n"/>
      <c r="B107" s="42" t="n"/>
      <c r="C107" s="7" t="n"/>
      <c r="D107" s="23">
        <f>IF(C107="","",IF(ISNUMBER(SEARCH("tiktok",C107)),"TikTok",IF(OR(ISNUMBER(SEARCH("facebook",C107)),ISNUMBER(SEARCH("fb.watch",C107))),"Facebook",IF(OR(ISNUMBER(SEARCH("youtube",C107)),ISNUMBER(SEARCH("youtu.be",C107))),"YouTube",IF(ISNUMBER(SEARCH("instagram",C107)),"Instagram","Khác")))))</f>
        <v/>
      </c>
      <c r="E107" s="7" t="n"/>
      <c r="F107" s="7" t="n"/>
      <c r="G107" s="43" t="n"/>
      <c r="H107" s="7" t="n"/>
      <c r="I107" s="26" t="n"/>
      <c r="J107" s="7" t="n"/>
      <c r="K107" s="26" t="n"/>
      <c r="L107" s="7" t="n"/>
      <c r="M107" s="26" t="n"/>
    </row>
    <row r="108">
      <c r="A108" s="26" t="n"/>
      <c r="B108" s="42" t="n"/>
      <c r="C108" s="7" t="n"/>
      <c r="D108" s="23">
        <f>IF(C108="","",IF(ISNUMBER(SEARCH("tiktok",C108)),"TikTok",IF(OR(ISNUMBER(SEARCH("facebook",C108)),ISNUMBER(SEARCH("fb.watch",C108))),"Facebook",IF(OR(ISNUMBER(SEARCH("youtube",C108)),ISNUMBER(SEARCH("youtu.be",C108))),"YouTube",IF(ISNUMBER(SEARCH("instagram",C108)),"Instagram","Khác")))))</f>
        <v/>
      </c>
      <c r="E108" s="7" t="n"/>
      <c r="F108" s="7" t="n"/>
      <c r="G108" s="43" t="n"/>
      <c r="H108" s="7" t="n"/>
      <c r="I108" s="26" t="n"/>
      <c r="J108" s="7" t="n"/>
      <c r="K108" s="26" t="n"/>
      <c r="L108" s="7" t="n"/>
      <c r="M108" s="26" t="n"/>
    </row>
    <row r="109">
      <c r="A109" s="26" t="n"/>
      <c r="B109" s="42" t="n"/>
      <c r="C109" s="7" t="n"/>
      <c r="D109" s="23">
        <f>IF(C109="","",IF(ISNUMBER(SEARCH("tiktok",C109)),"TikTok",IF(OR(ISNUMBER(SEARCH("facebook",C109)),ISNUMBER(SEARCH("fb.watch",C109))),"Facebook",IF(OR(ISNUMBER(SEARCH("youtube",C109)),ISNUMBER(SEARCH("youtu.be",C109))),"YouTube",IF(ISNUMBER(SEARCH("instagram",C109)),"Instagram","Khác")))))</f>
        <v/>
      </c>
      <c r="E109" s="7" t="n"/>
      <c r="F109" s="7" t="n"/>
      <c r="G109" s="43" t="n"/>
      <c r="H109" s="7" t="n"/>
      <c r="I109" s="26" t="n"/>
      <c r="J109" s="7" t="n"/>
      <c r="K109" s="26" t="n"/>
      <c r="L109" s="7" t="n"/>
      <c r="M109" s="26" t="n"/>
    </row>
    <row r="110">
      <c r="A110" s="26" t="n"/>
      <c r="B110" s="42" t="n"/>
      <c r="C110" s="7" t="n"/>
      <c r="D110" s="23">
        <f>IF(C110="","",IF(ISNUMBER(SEARCH("tiktok",C110)),"TikTok",IF(OR(ISNUMBER(SEARCH("facebook",C110)),ISNUMBER(SEARCH("fb.watch",C110))),"Facebook",IF(OR(ISNUMBER(SEARCH("youtube",C110)),ISNUMBER(SEARCH("youtu.be",C110))),"YouTube",IF(ISNUMBER(SEARCH("instagram",C110)),"Instagram","Khác")))))</f>
        <v/>
      </c>
      <c r="E110" s="7" t="n"/>
      <c r="F110" s="7" t="n"/>
      <c r="G110" s="43" t="n"/>
      <c r="H110" s="7" t="n"/>
      <c r="I110" s="26" t="n"/>
      <c r="J110" s="7" t="n"/>
      <c r="K110" s="26" t="n"/>
      <c r="L110" s="7" t="n"/>
      <c r="M110" s="26" t="n"/>
    </row>
    <row r="111">
      <c r="A111" s="26" t="n"/>
      <c r="B111" s="42" t="n"/>
      <c r="C111" s="7" t="n"/>
      <c r="D111" s="23">
        <f>IF(C111="","",IF(ISNUMBER(SEARCH("tiktok",C111)),"TikTok",IF(OR(ISNUMBER(SEARCH("facebook",C111)),ISNUMBER(SEARCH("fb.watch",C111))),"Facebook",IF(OR(ISNUMBER(SEARCH("youtube",C111)),ISNUMBER(SEARCH("youtu.be",C111))),"YouTube",IF(ISNUMBER(SEARCH("instagram",C111)),"Instagram","Khác")))))</f>
        <v/>
      </c>
      <c r="E111" s="7" t="n"/>
      <c r="F111" s="7" t="n"/>
      <c r="G111" s="43" t="n"/>
      <c r="H111" s="7" t="n"/>
      <c r="I111" s="26" t="n"/>
      <c r="J111" s="7" t="n"/>
      <c r="K111" s="26" t="n"/>
      <c r="L111" s="7" t="n"/>
      <c r="M111" s="26" t="n"/>
    </row>
    <row r="112">
      <c r="A112" s="26" t="n"/>
      <c r="B112" s="42" t="n"/>
      <c r="C112" s="7" t="n"/>
      <c r="D112" s="23">
        <f>IF(C112="","",IF(ISNUMBER(SEARCH("tiktok",C112)),"TikTok",IF(OR(ISNUMBER(SEARCH("facebook",C112)),ISNUMBER(SEARCH("fb.watch",C112))),"Facebook",IF(OR(ISNUMBER(SEARCH("youtube",C112)),ISNUMBER(SEARCH("youtu.be",C112))),"YouTube",IF(ISNUMBER(SEARCH("instagram",C112)),"Instagram","Khác")))))</f>
        <v/>
      </c>
      <c r="E112" s="7" t="n"/>
      <c r="F112" s="7" t="n"/>
      <c r="G112" s="43" t="n"/>
      <c r="H112" s="7" t="n"/>
      <c r="I112" s="26" t="n"/>
      <c r="J112" s="7" t="n"/>
      <c r="K112" s="26" t="n"/>
      <c r="L112" s="7" t="n"/>
      <c r="M112" s="26" t="n"/>
    </row>
    <row r="113">
      <c r="A113" s="26" t="n"/>
      <c r="B113" s="42" t="n"/>
      <c r="C113" s="7" t="n"/>
      <c r="D113" s="23">
        <f>IF(C113="","",IF(ISNUMBER(SEARCH("tiktok",C113)),"TikTok",IF(OR(ISNUMBER(SEARCH("facebook",C113)),ISNUMBER(SEARCH("fb.watch",C113))),"Facebook",IF(OR(ISNUMBER(SEARCH("youtube",C113)),ISNUMBER(SEARCH("youtu.be",C113))),"YouTube",IF(ISNUMBER(SEARCH("instagram",C113)),"Instagram","Khác")))))</f>
        <v/>
      </c>
      <c r="E113" s="7" t="n"/>
      <c r="F113" s="7" t="n"/>
      <c r="G113" s="43" t="n"/>
      <c r="H113" s="7" t="n"/>
      <c r="I113" s="26" t="n"/>
      <c r="J113" s="7" t="n"/>
      <c r="K113" s="26" t="n"/>
      <c r="L113" s="7" t="n"/>
      <c r="M113" s="26" t="n"/>
    </row>
    <row r="114">
      <c r="A114" s="26" t="n"/>
      <c r="B114" s="42" t="n"/>
      <c r="C114" s="7" t="n"/>
      <c r="D114" s="23">
        <f>IF(C114="","",IF(ISNUMBER(SEARCH("tiktok",C114)),"TikTok",IF(OR(ISNUMBER(SEARCH("facebook",C114)),ISNUMBER(SEARCH("fb.watch",C114))),"Facebook",IF(OR(ISNUMBER(SEARCH("youtube",C114)),ISNUMBER(SEARCH("youtu.be",C114))),"YouTube",IF(ISNUMBER(SEARCH("instagram",C114)),"Instagram","Khác")))))</f>
        <v/>
      </c>
      <c r="E114" s="7" t="n"/>
      <c r="F114" s="7" t="n"/>
      <c r="G114" s="43" t="n"/>
      <c r="H114" s="7" t="n"/>
      <c r="I114" s="26" t="n"/>
      <c r="J114" s="7" t="n"/>
      <c r="K114" s="26" t="n"/>
      <c r="L114" s="7" t="n"/>
      <c r="M114" s="26" t="n"/>
    </row>
    <row r="115">
      <c r="A115" s="26" t="n"/>
      <c r="B115" s="42" t="n"/>
      <c r="C115" s="7" t="n"/>
      <c r="D115" s="23">
        <f>IF(C115="","",IF(ISNUMBER(SEARCH("tiktok",C115)),"TikTok",IF(OR(ISNUMBER(SEARCH("facebook",C115)),ISNUMBER(SEARCH("fb.watch",C115))),"Facebook",IF(OR(ISNUMBER(SEARCH("youtube",C115)),ISNUMBER(SEARCH("youtu.be",C115))),"YouTube",IF(ISNUMBER(SEARCH("instagram",C115)),"Instagram","Khác")))))</f>
        <v/>
      </c>
      <c r="E115" s="7" t="n"/>
      <c r="F115" s="7" t="n"/>
      <c r="G115" s="43" t="n"/>
      <c r="H115" s="7" t="n"/>
      <c r="I115" s="26" t="n"/>
      <c r="J115" s="7" t="n"/>
      <c r="K115" s="26" t="n"/>
      <c r="L115" s="7" t="n"/>
      <c r="M115" s="26" t="n"/>
    </row>
    <row r="116">
      <c r="A116" s="26" t="n"/>
      <c r="B116" s="42" t="n"/>
      <c r="C116" s="7" t="n"/>
      <c r="D116" s="23">
        <f>IF(C116="","",IF(ISNUMBER(SEARCH("tiktok",C116)),"TikTok",IF(OR(ISNUMBER(SEARCH("facebook",C116)),ISNUMBER(SEARCH("fb.watch",C116))),"Facebook",IF(OR(ISNUMBER(SEARCH("youtube",C116)),ISNUMBER(SEARCH("youtu.be",C116))),"YouTube",IF(ISNUMBER(SEARCH("instagram",C116)),"Instagram","Khác")))))</f>
        <v/>
      </c>
      <c r="E116" s="7" t="n"/>
      <c r="F116" s="7" t="n"/>
      <c r="G116" s="43" t="n"/>
      <c r="H116" s="7" t="n"/>
      <c r="I116" s="26" t="n"/>
      <c r="J116" s="7" t="n"/>
      <c r="K116" s="26" t="n"/>
      <c r="L116" s="7" t="n"/>
      <c r="M116" s="26" t="n"/>
    </row>
    <row r="117">
      <c r="A117" s="26" t="n"/>
      <c r="B117" s="42" t="n"/>
      <c r="C117" s="7" t="n"/>
      <c r="D117" s="23">
        <f>IF(C117="","",IF(ISNUMBER(SEARCH("tiktok",C117)),"TikTok",IF(OR(ISNUMBER(SEARCH("facebook",C117)),ISNUMBER(SEARCH("fb.watch",C117))),"Facebook",IF(OR(ISNUMBER(SEARCH("youtube",C117)),ISNUMBER(SEARCH("youtu.be",C117))),"YouTube",IF(ISNUMBER(SEARCH("instagram",C117)),"Instagram","Khác")))))</f>
        <v/>
      </c>
      <c r="E117" s="7" t="n"/>
      <c r="F117" s="7" t="n"/>
      <c r="G117" s="43" t="n"/>
      <c r="H117" s="7" t="n"/>
      <c r="I117" s="26" t="n"/>
      <c r="J117" s="7" t="n"/>
      <c r="K117" s="26" t="n"/>
      <c r="L117" s="7" t="n"/>
      <c r="M117" s="26" t="n"/>
    </row>
    <row r="118">
      <c r="A118" s="26" t="n"/>
      <c r="B118" s="42" t="n"/>
      <c r="C118" s="7" t="n"/>
      <c r="D118" s="23">
        <f>IF(C118="","",IF(ISNUMBER(SEARCH("tiktok",C118)),"TikTok",IF(OR(ISNUMBER(SEARCH("facebook",C118)),ISNUMBER(SEARCH("fb.watch",C118))),"Facebook",IF(OR(ISNUMBER(SEARCH("youtube",C118)),ISNUMBER(SEARCH("youtu.be",C118))),"YouTube",IF(ISNUMBER(SEARCH("instagram",C118)),"Instagram","Khác")))))</f>
        <v/>
      </c>
      <c r="E118" s="7" t="n"/>
      <c r="F118" s="7" t="n"/>
      <c r="G118" s="43" t="n"/>
      <c r="H118" s="7" t="n"/>
      <c r="I118" s="26" t="n"/>
      <c r="J118" s="7" t="n"/>
      <c r="K118" s="26" t="n"/>
      <c r="L118" s="7" t="n"/>
      <c r="M118" s="26" t="n"/>
    </row>
    <row r="119">
      <c r="A119" s="26" t="n"/>
      <c r="B119" s="42" t="n"/>
      <c r="C119" s="7" t="n"/>
      <c r="D119" s="23">
        <f>IF(C119="","",IF(ISNUMBER(SEARCH("tiktok",C119)),"TikTok",IF(OR(ISNUMBER(SEARCH("facebook",C119)),ISNUMBER(SEARCH("fb.watch",C119))),"Facebook",IF(OR(ISNUMBER(SEARCH("youtube",C119)),ISNUMBER(SEARCH("youtu.be",C119))),"YouTube",IF(ISNUMBER(SEARCH("instagram",C119)),"Instagram","Khác")))))</f>
        <v/>
      </c>
      <c r="E119" s="7" t="n"/>
      <c r="F119" s="7" t="n"/>
      <c r="G119" s="43" t="n"/>
      <c r="H119" s="7" t="n"/>
      <c r="I119" s="26" t="n"/>
      <c r="J119" s="7" t="n"/>
      <c r="K119" s="26" t="n"/>
      <c r="L119" s="7" t="n"/>
      <c r="M119" s="26" t="n"/>
    </row>
    <row r="120">
      <c r="A120" s="26" t="n"/>
      <c r="B120" s="42" t="n"/>
      <c r="C120" s="7" t="n"/>
      <c r="D120" s="23">
        <f>IF(C120="","",IF(ISNUMBER(SEARCH("tiktok",C120)),"TikTok",IF(OR(ISNUMBER(SEARCH("facebook",C120)),ISNUMBER(SEARCH("fb.watch",C120))),"Facebook",IF(OR(ISNUMBER(SEARCH("youtube",C120)),ISNUMBER(SEARCH("youtu.be",C120))),"YouTube",IF(ISNUMBER(SEARCH("instagram",C120)),"Instagram","Khác")))))</f>
        <v/>
      </c>
      <c r="E120" s="7" t="n"/>
      <c r="F120" s="7" t="n"/>
      <c r="G120" s="43" t="n"/>
      <c r="H120" s="7" t="n"/>
      <c r="I120" s="26" t="n"/>
      <c r="J120" s="7" t="n"/>
      <c r="K120" s="26" t="n"/>
      <c r="L120" s="7" t="n"/>
      <c r="M120" s="26" t="n"/>
    </row>
    <row r="121">
      <c r="A121" s="26" t="n"/>
      <c r="B121" s="42" t="n"/>
      <c r="C121" s="7" t="n"/>
      <c r="D121" s="23">
        <f>IF(C121="","",IF(ISNUMBER(SEARCH("tiktok",C121)),"TikTok",IF(OR(ISNUMBER(SEARCH("facebook",C121)),ISNUMBER(SEARCH("fb.watch",C121))),"Facebook",IF(OR(ISNUMBER(SEARCH("youtube",C121)),ISNUMBER(SEARCH("youtu.be",C121))),"YouTube",IF(ISNUMBER(SEARCH("instagram",C121)),"Instagram","Khác")))))</f>
        <v/>
      </c>
      <c r="E121" s="7" t="n"/>
      <c r="F121" s="7" t="n"/>
      <c r="G121" s="43" t="n"/>
      <c r="H121" s="7" t="n"/>
      <c r="I121" s="26" t="n"/>
      <c r="J121" s="7" t="n"/>
      <c r="K121" s="26" t="n"/>
      <c r="L121" s="7" t="n"/>
      <c r="M121" s="26" t="n"/>
    </row>
    <row r="122">
      <c r="A122" s="26" t="n"/>
      <c r="B122" s="42" t="n"/>
      <c r="C122" s="7" t="n"/>
      <c r="D122" s="23">
        <f>IF(C122="","",IF(ISNUMBER(SEARCH("tiktok",C122)),"TikTok",IF(OR(ISNUMBER(SEARCH("facebook",C122)),ISNUMBER(SEARCH("fb.watch",C122))),"Facebook",IF(OR(ISNUMBER(SEARCH("youtube",C122)),ISNUMBER(SEARCH("youtu.be",C122))),"YouTube",IF(ISNUMBER(SEARCH("instagram",C122)),"Instagram","Khác")))))</f>
        <v/>
      </c>
      <c r="E122" s="7" t="n"/>
      <c r="F122" s="7" t="n"/>
      <c r="G122" s="43" t="n"/>
      <c r="H122" s="7" t="n"/>
      <c r="I122" s="26" t="n"/>
      <c r="J122" s="7" t="n"/>
      <c r="K122" s="26" t="n"/>
      <c r="L122" s="7" t="n"/>
      <c r="M122" s="26" t="n"/>
    </row>
    <row r="123">
      <c r="A123" s="26" t="n"/>
      <c r="B123" s="42" t="n"/>
      <c r="C123" s="7" t="n"/>
      <c r="D123" s="23">
        <f>IF(C123="","",IF(ISNUMBER(SEARCH("tiktok",C123)),"TikTok",IF(OR(ISNUMBER(SEARCH("facebook",C123)),ISNUMBER(SEARCH("fb.watch",C123))),"Facebook",IF(OR(ISNUMBER(SEARCH("youtube",C123)),ISNUMBER(SEARCH("youtu.be",C123))),"YouTube",IF(ISNUMBER(SEARCH("instagram",C123)),"Instagram","Khác")))))</f>
        <v/>
      </c>
      <c r="E123" s="7" t="n"/>
      <c r="F123" s="7" t="n"/>
      <c r="G123" s="43" t="n"/>
      <c r="H123" s="7" t="n"/>
      <c r="I123" s="26" t="n"/>
      <c r="J123" s="7" t="n"/>
      <c r="K123" s="26" t="n"/>
      <c r="L123" s="7" t="n"/>
      <c r="M123" s="26" t="n"/>
    </row>
    <row r="124">
      <c r="A124" s="26" t="n"/>
      <c r="B124" s="42" t="n"/>
      <c r="C124" s="7" t="n"/>
      <c r="D124" s="23">
        <f>IF(C124="","",IF(ISNUMBER(SEARCH("tiktok",C124)),"TikTok",IF(OR(ISNUMBER(SEARCH("facebook",C124)),ISNUMBER(SEARCH("fb.watch",C124))),"Facebook",IF(OR(ISNUMBER(SEARCH("youtube",C124)),ISNUMBER(SEARCH("youtu.be",C124))),"YouTube",IF(ISNUMBER(SEARCH("instagram",C124)),"Instagram","Khác")))))</f>
        <v/>
      </c>
      <c r="E124" s="7" t="n"/>
      <c r="F124" s="7" t="n"/>
      <c r="G124" s="43" t="n"/>
      <c r="H124" s="7" t="n"/>
      <c r="I124" s="26" t="n"/>
      <c r="J124" s="7" t="n"/>
      <c r="K124" s="26" t="n"/>
      <c r="L124" s="7" t="n"/>
      <c r="M124" s="26" t="n"/>
    </row>
    <row r="125">
      <c r="A125" s="26" t="n"/>
      <c r="B125" s="42" t="n"/>
      <c r="C125" s="7" t="n"/>
      <c r="D125" s="23">
        <f>IF(C125="","",IF(ISNUMBER(SEARCH("tiktok",C125)),"TikTok",IF(OR(ISNUMBER(SEARCH("facebook",C125)),ISNUMBER(SEARCH("fb.watch",C125))),"Facebook",IF(OR(ISNUMBER(SEARCH("youtube",C125)),ISNUMBER(SEARCH("youtu.be",C125))),"YouTube",IF(ISNUMBER(SEARCH("instagram",C125)),"Instagram","Khác")))))</f>
        <v/>
      </c>
      <c r="E125" s="7" t="n"/>
      <c r="F125" s="7" t="n"/>
      <c r="G125" s="43" t="n"/>
      <c r="H125" s="7" t="n"/>
      <c r="I125" s="26" t="n"/>
      <c r="J125" s="7" t="n"/>
      <c r="K125" s="26" t="n"/>
      <c r="L125" s="7" t="n"/>
      <c r="M125" s="26" t="n"/>
    </row>
    <row r="126">
      <c r="A126" s="26" t="n"/>
      <c r="B126" s="42" t="n"/>
      <c r="C126" s="7" t="n"/>
      <c r="D126" s="23">
        <f>IF(C126="","",IF(ISNUMBER(SEARCH("tiktok",C126)),"TikTok",IF(OR(ISNUMBER(SEARCH("facebook",C126)),ISNUMBER(SEARCH("fb.watch",C126))),"Facebook",IF(OR(ISNUMBER(SEARCH("youtube",C126)),ISNUMBER(SEARCH("youtu.be",C126))),"YouTube",IF(ISNUMBER(SEARCH("instagram",C126)),"Instagram","Khác")))))</f>
        <v/>
      </c>
      <c r="E126" s="7" t="n"/>
      <c r="F126" s="7" t="n"/>
      <c r="G126" s="43" t="n"/>
      <c r="H126" s="7" t="n"/>
      <c r="I126" s="26" t="n"/>
      <c r="J126" s="7" t="n"/>
      <c r="K126" s="26" t="n"/>
      <c r="L126" s="7" t="n"/>
      <c r="M126" s="26" t="n"/>
    </row>
    <row r="127">
      <c r="A127" s="26" t="n"/>
      <c r="B127" s="42" t="n"/>
      <c r="C127" s="7" t="n"/>
      <c r="D127" s="23">
        <f>IF(C127="","",IF(ISNUMBER(SEARCH("tiktok",C127)),"TikTok",IF(OR(ISNUMBER(SEARCH("facebook",C127)),ISNUMBER(SEARCH("fb.watch",C127))),"Facebook",IF(OR(ISNUMBER(SEARCH("youtube",C127)),ISNUMBER(SEARCH("youtu.be",C127))),"YouTube",IF(ISNUMBER(SEARCH("instagram",C127)),"Instagram","Khác")))))</f>
        <v/>
      </c>
      <c r="E127" s="7" t="n"/>
      <c r="F127" s="7" t="n"/>
      <c r="G127" s="43" t="n"/>
      <c r="H127" s="7" t="n"/>
      <c r="I127" s="26" t="n"/>
      <c r="J127" s="7" t="n"/>
      <c r="K127" s="26" t="n"/>
      <c r="L127" s="7" t="n"/>
      <c r="M127" s="26" t="n"/>
    </row>
    <row r="128">
      <c r="A128" s="26" t="n"/>
      <c r="B128" s="42" t="n"/>
      <c r="C128" s="7" t="n"/>
      <c r="D128" s="23">
        <f>IF(C128="","",IF(ISNUMBER(SEARCH("tiktok",C128)),"TikTok",IF(OR(ISNUMBER(SEARCH("facebook",C128)),ISNUMBER(SEARCH("fb.watch",C128))),"Facebook",IF(OR(ISNUMBER(SEARCH("youtube",C128)),ISNUMBER(SEARCH("youtu.be",C128))),"YouTube",IF(ISNUMBER(SEARCH("instagram",C128)),"Instagram","Khác")))))</f>
        <v/>
      </c>
      <c r="E128" s="7" t="n"/>
      <c r="F128" s="7" t="n"/>
      <c r="G128" s="43" t="n"/>
      <c r="H128" s="7" t="n"/>
      <c r="I128" s="26" t="n"/>
      <c r="J128" s="7" t="n"/>
      <c r="K128" s="26" t="n"/>
      <c r="L128" s="7" t="n"/>
      <c r="M128" s="26" t="n"/>
    </row>
    <row r="129">
      <c r="A129" s="26" t="n"/>
      <c r="B129" s="42" t="n"/>
      <c r="C129" s="7" t="n"/>
      <c r="D129" s="23">
        <f>IF(C129="","",IF(ISNUMBER(SEARCH("tiktok",C129)),"TikTok",IF(OR(ISNUMBER(SEARCH("facebook",C129)),ISNUMBER(SEARCH("fb.watch",C129))),"Facebook",IF(OR(ISNUMBER(SEARCH("youtube",C129)),ISNUMBER(SEARCH("youtu.be",C129))),"YouTube",IF(ISNUMBER(SEARCH("instagram",C129)),"Instagram","Khác")))))</f>
        <v/>
      </c>
      <c r="E129" s="7" t="n"/>
      <c r="F129" s="7" t="n"/>
      <c r="G129" s="43" t="n"/>
      <c r="H129" s="7" t="n"/>
      <c r="I129" s="26" t="n"/>
      <c r="J129" s="7" t="n"/>
      <c r="K129" s="26" t="n"/>
      <c r="L129" s="7" t="n"/>
      <c r="M129" s="26" t="n"/>
    </row>
    <row r="130">
      <c r="A130" s="26" t="n"/>
      <c r="B130" s="42" t="n"/>
      <c r="C130" s="7" t="n"/>
      <c r="D130" s="23">
        <f>IF(C130="","",IF(ISNUMBER(SEARCH("tiktok",C130)),"TikTok",IF(OR(ISNUMBER(SEARCH("facebook",C130)),ISNUMBER(SEARCH("fb.watch",C130))),"Facebook",IF(OR(ISNUMBER(SEARCH("youtube",C130)),ISNUMBER(SEARCH("youtu.be",C130))),"YouTube",IF(ISNUMBER(SEARCH("instagram",C130)),"Instagram","Khác")))))</f>
        <v/>
      </c>
      <c r="E130" s="7" t="n"/>
      <c r="F130" s="7" t="n"/>
      <c r="G130" s="43" t="n"/>
      <c r="H130" s="7" t="n"/>
      <c r="I130" s="26" t="n"/>
      <c r="J130" s="7" t="n"/>
      <c r="K130" s="26" t="n"/>
      <c r="L130" s="7" t="n"/>
      <c r="M130" s="26" t="n"/>
    </row>
    <row r="131">
      <c r="A131" s="26" t="n"/>
      <c r="B131" s="42" t="n"/>
      <c r="C131" s="7" t="n"/>
      <c r="D131" s="23">
        <f>IF(C131="","",IF(ISNUMBER(SEARCH("tiktok",C131)),"TikTok",IF(OR(ISNUMBER(SEARCH("facebook",C131)),ISNUMBER(SEARCH("fb.watch",C131))),"Facebook",IF(OR(ISNUMBER(SEARCH("youtube",C131)),ISNUMBER(SEARCH("youtu.be",C131))),"YouTube",IF(ISNUMBER(SEARCH("instagram",C131)),"Instagram","Khác")))))</f>
        <v/>
      </c>
      <c r="E131" s="7" t="n"/>
      <c r="F131" s="7" t="n"/>
      <c r="G131" s="43" t="n"/>
      <c r="H131" s="7" t="n"/>
      <c r="I131" s="26" t="n"/>
      <c r="J131" s="7" t="n"/>
      <c r="K131" s="26" t="n"/>
      <c r="L131" s="7" t="n"/>
      <c r="M131" s="26" t="n"/>
    </row>
    <row r="132">
      <c r="A132" s="26" t="n"/>
      <c r="B132" s="42" t="n"/>
      <c r="C132" s="7" t="n"/>
      <c r="D132" s="23">
        <f>IF(C132="","",IF(ISNUMBER(SEARCH("tiktok",C132)),"TikTok",IF(OR(ISNUMBER(SEARCH("facebook",C132)),ISNUMBER(SEARCH("fb.watch",C132))),"Facebook",IF(OR(ISNUMBER(SEARCH("youtube",C132)),ISNUMBER(SEARCH("youtu.be",C132))),"YouTube",IF(ISNUMBER(SEARCH("instagram",C132)),"Instagram","Khác")))))</f>
        <v/>
      </c>
      <c r="E132" s="7" t="n"/>
      <c r="F132" s="7" t="n"/>
      <c r="G132" s="43" t="n"/>
      <c r="H132" s="7" t="n"/>
      <c r="I132" s="26" t="n"/>
      <c r="J132" s="7" t="n"/>
      <c r="K132" s="26" t="n"/>
      <c r="L132" s="7" t="n"/>
      <c r="M132" s="26" t="n"/>
    </row>
    <row r="133">
      <c r="A133" s="26" t="n"/>
      <c r="B133" s="42" t="n"/>
      <c r="C133" s="7" t="n"/>
      <c r="D133" s="23">
        <f>IF(C133="","",IF(ISNUMBER(SEARCH("tiktok",C133)),"TikTok",IF(OR(ISNUMBER(SEARCH("facebook",C133)),ISNUMBER(SEARCH("fb.watch",C133))),"Facebook",IF(OR(ISNUMBER(SEARCH("youtube",C133)),ISNUMBER(SEARCH("youtu.be",C133))),"YouTube",IF(ISNUMBER(SEARCH("instagram",C133)),"Instagram","Khác")))))</f>
        <v/>
      </c>
      <c r="E133" s="7" t="n"/>
      <c r="F133" s="7" t="n"/>
      <c r="G133" s="43" t="n"/>
      <c r="H133" s="7" t="n"/>
      <c r="I133" s="26" t="n"/>
      <c r="J133" s="7" t="n"/>
      <c r="K133" s="26" t="n"/>
      <c r="L133" s="7" t="n"/>
      <c r="M133" s="26" t="n"/>
    </row>
    <row r="134">
      <c r="A134" s="26" t="n"/>
      <c r="B134" s="42" t="n"/>
      <c r="C134" s="7" t="n"/>
      <c r="D134" s="23">
        <f>IF(C134="","",IF(ISNUMBER(SEARCH("tiktok",C134)),"TikTok",IF(OR(ISNUMBER(SEARCH("facebook",C134)),ISNUMBER(SEARCH("fb.watch",C134))),"Facebook",IF(OR(ISNUMBER(SEARCH("youtube",C134)),ISNUMBER(SEARCH("youtu.be",C134))),"YouTube",IF(ISNUMBER(SEARCH("instagram",C134)),"Instagram","Khác")))))</f>
        <v/>
      </c>
      <c r="E134" s="7" t="n"/>
      <c r="F134" s="7" t="n"/>
      <c r="G134" s="43" t="n"/>
      <c r="H134" s="7" t="n"/>
      <c r="I134" s="26" t="n"/>
      <c r="J134" s="7" t="n"/>
      <c r="K134" s="26" t="n"/>
      <c r="L134" s="7" t="n"/>
      <c r="M134" s="26" t="n"/>
    </row>
    <row r="135">
      <c r="A135" s="26" t="n"/>
      <c r="B135" s="42" t="n"/>
      <c r="C135" s="7" t="n"/>
      <c r="D135" s="23">
        <f>IF(C135="","",IF(ISNUMBER(SEARCH("tiktok",C135)),"TikTok",IF(OR(ISNUMBER(SEARCH("facebook",C135)),ISNUMBER(SEARCH("fb.watch",C135))),"Facebook",IF(OR(ISNUMBER(SEARCH("youtube",C135)),ISNUMBER(SEARCH("youtu.be",C135))),"YouTube",IF(ISNUMBER(SEARCH("instagram",C135)),"Instagram","Khác")))))</f>
        <v/>
      </c>
      <c r="E135" s="7" t="n"/>
      <c r="F135" s="7" t="n"/>
      <c r="G135" s="43" t="n"/>
      <c r="H135" s="7" t="n"/>
      <c r="I135" s="26" t="n"/>
      <c r="J135" s="7" t="n"/>
      <c r="K135" s="26" t="n"/>
      <c r="L135" s="7" t="n"/>
      <c r="M135" s="26" t="n"/>
    </row>
    <row r="136">
      <c r="A136" s="26" t="n"/>
      <c r="B136" s="42" t="n"/>
      <c r="C136" s="7" t="n"/>
      <c r="D136" s="23">
        <f>IF(C136="","",IF(ISNUMBER(SEARCH("tiktok",C136)),"TikTok",IF(OR(ISNUMBER(SEARCH("facebook",C136)),ISNUMBER(SEARCH("fb.watch",C136))),"Facebook",IF(OR(ISNUMBER(SEARCH("youtube",C136)),ISNUMBER(SEARCH("youtu.be",C136))),"YouTube",IF(ISNUMBER(SEARCH("instagram",C136)),"Instagram","Khác")))))</f>
        <v/>
      </c>
      <c r="E136" s="7" t="n"/>
      <c r="F136" s="7" t="n"/>
      <c r="G136" s="43" t="n"/>
      <c r="H136" s="7" t="n"/>
      <c r="I136" s="26" t="n"/>
      <c r="J136" s="7" t="n"/>
      <c r="K136" s="26" t="n"/>
      <c r="L136" s="7" t="n"/>
      <c r="M136" s="26" t="n"/>
    </row>
    <row r="137">
      <c r="A137" s="26" t="n"/>
      <c r="B137" s="42" t="n"/>
      <c r="C137" s="7" t="n"/>
      <c r="D137" s="23">
        <f>IF(C137="","",IF(ISNUMBER(SEARCH("tiktok",C137)),"TikTok",IF(OR(ISNUMBER(SEARCH("facebook",C137)),ISNUMBER(SEARCH("fb.watch",C137))),"Facebook",IF(OR(ISNUMBER(SEARCH("youtube",C137)),ISNUMBER(SEARCH("youtu.be",C137))),"YouTube",IF(ISNUMBER(SEARCH("instagram",C137)),"Instagram","Khác")))))</f>
        <v/>
      </c>
      <c r="E137" s="7" t="n"/>
      <c r="F137" s="7" t="n"/>
      <c r="G137" s="43" t="n"/>
      <c r="H137" s="7" t="n"/>
      <c r="I137" s="26" t="n"/>
      <c r="J137" s="7" t="n"/>
      <c r="K137" s="26" t="n"/>
      <c r="L137" s="7" t="n"/>
      <c r="M137" s="26" t="n"/>
    </row>
    <row r="138">
      <c r="A138" s="26" t="n"/>
      <c r="B138" s="42" t="n"/>
      <c r="C138" s="7" t="n"/>
      <c r="D138" s="23">
        <f>IF(C138="","",IF(ISNUMBER(SEARCH("tiktok",C138)),"TikTok",IF(OR(ISNUMBER(SEARCH("facebook",C138)),ISNUMBER(SEARCH("fb.watch",C138))),"Facebook",IF(OR(ISNUMBER(SEARCH("youtube",C138)),ISNUMBER(SEARCH("youtu.be",C138))),"YouTube",IF(ISNUMBER(SEARCH("instagram",C138)),"Instagram","Khác")))))</f>
        <v/>
      </c>
      <c r="E138" s="7" t="n"/>
      <c r="F138" s="7" t="n"/>
      <c r="G138" s="43" t="n"/>
      <c r="H138" s="7" t="n"/>
      <c r="I138" s="26" t="n"/>
      <c r="J138" s="7" t="n"/>
      <c r="K138" s="26" t="n"/>
      <c r="L138" s="7" t="n"/>
      <c r="M138" s="26" t="n"/>
    </row>
    <row r="139">
      <c r="A139" s="26" t="n"/>
      <c r="B139" s="42" t="n"/>
      <c r="C139" s="7" t="n"/>
      <c r="D139" s="23">
        <f>IF(C139="","",IF(ISNUMBER(SEARCH("tiktok",C139)),"TikTok",IF(OR(ISNUMBER(SEARCH("facebook",C139)),ISNUMBER(SEARCH("fb.watch",C139))),"Facebook",IF(OR(ISNUMBER(SEARCH("youtube",C139)),ISNUMBER(SEARCH("youtu.be",C139))),"YouTube",IF(ISNUMBER(SEARCH("instagram",C139)),"Instagram","Khác")))))</f>
        <v/>
      </c>
      <c r="E139" s="7" t="n"/>
      <c r="F139" s="7" t="n"/>
      <c r="G139" s="43" t="n"/>
      <c r="H139" s="7" t="n"/>
      <c r="I139" s="26" t="n"/>
      <c r="J139" s="7" t="n"/>
      <c r="K139" s="26" t="n"/>
      <c r="L139" s="7" t="n"/>
      <c r="M139" s="26" t="n"/>
    </row>
    <row r="140">
      <c r="A140" s="26" t="n"/>
      <c r="B140" s="42" t="n"/>
      <c r="C140" s="7" t="n"/>
      <c r="D140" s="23">
        <f>IF(C140="","",IF(ISNUMBER(SEARCH("tiktok",C140)),"TikTok",IF(OR(ISNUMBER(SEARCH("facebook",C140)),ISNUMBER(SEARCH("fb.watch",C140))),"Facebook",IF(OR(ISNUMBER(SEARCH("youtube",C140)),ISNUMBER(SEARCH("youtu.be",C140))),"YouTube",IF(ISNUMBER(SEARCH("instagram",C140)),"Instagram","Khác")))))</f>
        <v/>
      </c>
      <c r="E140" s="7" t="n"/>
      <c r="F140" s="7" t="n"/>
      <c r="G140" s="43" t="n"/>
      <c r="H140" s="7" t="n"/>
      <c r="I140" s="26" t="n"/>
      <c r="J140" s="7" t="n"/>
      <c r="K140" s="26" t="n"/>
      <c r="L140" s="7" t="n"/>
      <c r="M140" s="26" t="n"/>
    </row>
    <row r="141">
      <c r="A141" s="26" t="n"/>
      <c r="B141" s="42" t="n"/>
      <c r="C141" s="7" t="n"/>
      <c r="D141" s="23">
        <f>IF(C141="","",IF(ISNUMBER(SEARCH("tiktok",C141)),"TikTok",IF(OR(ISNUMBER(SEARCH("facebook",C141)),ISNUMBER(SEARCH("fb.watch",C141))),"Facebook",IF(OR(ISNUMBER(SEARCH("youtube",C141)),ISNUMBER(SEARCH("youtu.be",C141))),"YouTube",IF(ISNUMBER(SEARCH("instagram",C141)),"Instagram","Khác")))))</f>
        <v/>
      </c>
      <c r="E141" s="7" t="n"/>
      <c r="F141" s="7" t="n"/>
      <c r="G141" s="43" t="n"/>
      <c r="H141" s="7" t="n"/>
      <c r="I141" s="26" t="n"/>
      <c r="J141" s="7" t="n"/>
      <c r="K141" s="26" t="n"/>
      <c r="L141" s="7" t="n"/>
      <c r="M141" s="26" t="n"/>
    </row>
    <row r="142">
      <c r="A142" s="26" t="n"/>
      <c r="B142" s="42" t="n"/>
      <c r="C142" s="7" t="n"/>
      <c r="D142" s="23">
        <f>IF(C142="","",IF(ISNUMBER(SEARCH("tiktok",C142)),"TikTok",IF(OR(ISNUMBER(SEARCH("facebook",C142)),ISNUMBER(SEARCH("fb.watch",C142))),"Facebook",IF(OR(ISNUMBER(SEARCH("youtube",C142)),ISNUMBER(SEARCH("youtu.be",C142))),"YouTube",IF(ISNUMBER(SEARCH("instagram",C142)),"Instagram","Khác")))))</f>
        <v/>
      </c>
      <c r="E142" s="7" t="n"/>
      <c r="F142" s="7" t="n"/>
      <c r="G142" s="43" t="n"/>
      <c r="H142" s="7" t="n"/>
      <c r="I142" s="26" t="n"/>
      <c r="J142" s="7" t="n"/>
      <c r="K142" s="26" t="n"/>
      <c r="L142" s="7" t="n"/>
      <c r="M142" s="26" t="n"/>
    </row>
    <row r="143">
      <c r="A143" s="26" t="n"/>
      <c r="B143" s="42" t="n"/>
      <c r="C143" s="7" t="n"/>
      <c r="D143" s="23">
        <f>IF(C143="","",IF(ISNUMBER(SEARCH("tiktok",C143)),"TikTok",IF(OR(ISNUMBER(SEARCH("facebook",C143)),ISNUMBER(SEARCH("fb.watch",C143))),"Facebook",IF(OR(ISNUMBER(SEARCH("youtube",C143)),ISNUMBER(SEARCH("youtu.be",C143))),"YouTube",IF(ISNUMBER(SEARCH("instagram",C143)),"Instagram","Khác")))))</f>
        <v/>
      </c>
      <c r="E143" s="7" t="n"/>
      <c r="F143" s="7" t="n"/>
      <c r="G143" s="43" t="n"/>
      <c r="H143" s="7" t="n"/>
      <c r="I143" s="26" t="n"/>
      <c r="J143" s="7" t="n"/>
      <c r="K143" s="26" t="n"/>
      <c r="L143" s="7" t="n"/>
      <c r="M143" s="26" t="n"/>
    </row>
    <row r="144">
      <c r="A144" s="26" t="n"/>
      <c r="B144" s="42" t="n"/>
      <c r="C144" s="7" t="n"/>
      <c r="D144" s="23">
        <f>IF(C144="","",IF(ISNUMBER(SEARCH("tiktok",C144)),"TikTok",IF(OR(ISNUMBER(SEARCH("facebook",C144)),ISNUMBER(SEARCH("fb.watch",C144))),"Facebook",IF(OR(ISNUMBER(SEARCH("youtube",C144)),ISNUMBER(SEARCH("youtu.be",C144))),"YouTube",IF(ISNUMBER(SEARCH("instagram",C144)),"Instagram","Khác")))))</f>
        <v/>
      </c>
      <c r="E144" s="7" t="n"/>
      <c r="F144" s="7" t="n"/>
      <c r="G144" s="43" t="n"/>
      <c r="H144" s="7" t="n"/>
      <c r="I144" s="26" t="n"/>
      <c r="J144" s="7" t="n"/>
      <c r="K144" s="26" t="n"/>
      <c r="L144" s="7" t="n"/>
      <c r="M144" s="26" t="n"/>
    </row>
    <row r="145">
      <c r="A145" s="26" t="n"/>
      <c r="B145" s="42" t="n"/>
      <c r="C145" s="7" t="n"/>
      <c r="D145" s="23">
        <f>IF(C145="","",IF(ISNUMBER(SEARCH("tiktok",C145)),"TikTok",IF(OR(ISNUMBER(SEARCH("facebook",C145)),ISNUMBER(SEARCH("fb.watch",C145))),"Facebook",IF(OR(ISNUMBER(SEARCH("youtube",C145)),ISNUMBER(SEARCH("youtu.be",C145))),"YouTube",IF(ISNUMBER(SEARCH("instagram",C145)),"Instagram","Khác")))))</f>
        <v/>
      </c>
      <c r="E145" s="7" t="n"/>
      <c r="F145" s="7" t="n"/>
      <c r="G145" s="43" t="n"/>
      <c r="H145" s="7" t="n"/>
      <c r="I145" s="26" t="n"/>
      <c r="J145" s="7" t="n"/>
      <c r="K145" s="26" t="n"/>
      <c r="L145" s="7" t="n"/>
      <c r="M145" s="26" t="n"/>
    </row>
    <row r="146">
      <c r="A146" s="26" t="n"/>
      <c r="B146" s="42" t="n"/>
      <c r="C146" s="7" t="n"/>
      <c r="D146" s="23">
        <f>IF(C146="","",IF(ISNUMBER(SEARCH("tiktok",C146)),"TikTok",IF(OR(ISNUMBER(SEARCH("facebook",C146)),ISNUMBER(SEARCH("fb.watch",C146))),"Facebook",IF(OR(ISNUMBER(SEARCH("youtube",C146)),ISNUMBER(SEARCH("youtu.be",C146))),"YouTube",IF(ISNUMBER(SEARCH("instagram",C146)),"Instagram","Khác")))))</f>
        <v/>
      </c>
      <c r="E146" s="7" t="n"/>
      <c r="F146" s="7" t="n"/>
      <c r="G146" s="43" t="n"/>
      <c r="H146" s="7" t="n"/>
      <c r="I146" s="26" t="n"/>
      <c r="J146" s="7" t="n"/>
      <c r="K146" s="26" t="n"/>
      <c r="L146" s="7" t="n"/>
      <c r="M146" s="26" t="n"/>
    </row>
    <row r="147">
      <c r="A147" s="26" t="n"/>
      <c r="B147" s="42" t="n"/>
      <c r="C147" s="7" t="n"/>
      <c r="D147" s="23">
        <f>IF(C147="","",IF(ISNUMBER(SEARCH("tiktok",C147)),"TikTok",IF(OR(ISNUMBER(SEARCH("facebook",C147)),ISNUMBER(SEARCH("fb.watch",C147))),"Facebook",IF(OR(ISNUMBER(SEARCH("youtube",C147)),ISNUMBER(SEARCH("youtu.be",C147))),"YouTube",IF(ISNUMBER(SEARCH("instagram",C147)),"Instagram","Khác")))))</f>
        <v/>
      </c>
      <c r="E147" s="7" t="n"/>
      <c r="F147" s="7" t="n"/>
      <c r="G147" s="43" t="n"/>
      <c r="H147" s="7" t="n"/>
      <c r="I147" s="26" t="n"/>
      <c r="J147" s="7" t="n"/>
      <c r="K147" s="26" t="n"/>
      <c r="L147" s="7" t="n"/>
      <c r="M147" s="26" t="n"/>
    </row>
    <row r="148">
      <c r="A148" s="26" t="n"/>
      <c r="B148" s="42" t="n"/>
      <c r="C148" s="7" t="n"/>
      <c r="D148" s="23">
        <f>IF(C148="","",IF(ISNUMBER(SEARCH("tiktok",C148)),"TikTok",IF(OR(ISNUMBER(SEARCH("facebook",C148)),ISNUMBER(SEARCH("fb.watch",C148))),"Facebook",IF(OR(ISNUMBER(SEARCH("youtube",C148)),ISNUMBER(SEARCH("youtu.be",C148))),"YouTube",IF(ISNUMBER(SEARCH("instagram",C148)),"Instagram","Khác")))))</f>
        <v/>
      </c>
      <c r="E148" s="7" t="n"/>
      <c r="F148" s="7" t="n"/>
      <c r="G148" s="43" t="n"/>
      <c r="H148" s="7" t="n"/>
      <c r="I148" s="26" t="n"/>
      <c r="J148" s="7" t="n"/>
      <c r="K148" s="26" t="n"/>
      <c r="L148" s="7" t="n"/>
      <c r="M148" s="26" t="n"/>
    </row>
    <row r="149">
      <c r="A149" s="26" t="n"/>
      <c r="B149" s="42" t="n"/>
      <c r="C149" s="7" t="n"/>
      <c r="D149" s="23">
        <f>IF(C149="","",IF(ISNUMBER(SEARCH("tiktok",C149)),"TikTok",IF(OR(ISNUMBER(SEARCH("facebook",C149)),ISNUMBER(SEARCH("fb.watch",C149))),"Facebook",IF(OR(ISNUMBER(SEARCH("youtube",C149)),ISNUMBER(SEARCH("youtu.be",C149))),"YouTube",IF(ISNUMBER(SEARCH("instagram",C149)),"Instagram","Khác")))))</f>
        <v/>
      </c>
      <c r="E149" s="7" t="n"/>
      <c r="F149" s="7" t="n"/>
      <c r="G149" s="43" t="n"/>
      <c r="H149" s="7" t="n"/>
      <c r="I149" s="26" t="n"/>
      <c r="J149" s="7" t="n"/>
      <c r="K149" s="26" t="n"/>
      <c r="L149" s="7" t="n"/>
      <c r="M149" s="26" t="n"/>
    </row>
    <row r="150">
      <c r="A150" s="26" t="n"/>
      <c r="B150" s="42" t="n"/>
      <c r="C150" s="7" t="n"/>
      <c r="D150" s="23">
        <f>IF(C150="","",IF(ISNUMBER(SEARCH("tiktok",C150)),"TikTok",IF(OR(ISNUMBER(SEARCH("facebook",C150)),ISNUMBER(SEARCH("fb.watch",C150))),"Facebook",IF(OR(ISNUMBER(SEARCH("youtube",C150)),ISNUMBER(SEARCH("youtu.be",C150))),"YouTube",IF(ISNUMBER(SEARCH("instagram",C150)),"Instagram","Khác")))))</f>
        <v/>
      </c>
      <c r="E150" s="7" t="n"/>
      <c r="F150" s="7" t="n"/>
      <c r="G150" s="43" t="n"/>
      <c r="H150" s="7" t="n"/>
      <c r="I150" s="26" t="n"/>
      <c r="J150" s="7" t="n"/>
      <c r="K150" s="26" t="n"/>
      <c r="L150" s="7" t="n"/>
      <c r="M150" s="26" t="n"/>
    </row>
    <row r="151">
      <c r="A151" s="26" t="n"/>
      <c r="B151" s="42" t="n"/>
      <c r="C151" s="7" t="n"/>
      <c r="D151" s="23">
        <f>IF(C151="","",IF(ISNUMBER(SEARCH("tiktok",C151)),"TikTok",IF(OR(ISNUMBER(SEARCH("facebook",C151)),ISNUMBER(SEARCH("fb.watch",C151))),"Facebook",IF(OR(ISNUMBER(SEARCH("youtube",C151)),ISNUMBER(SEARCH("youtu.be",C151))),"YouTube",IF(ISNUMBER(SEARCH("instagram",C151)),"Instagram","Khác")))))</f>
        <v/>
      </c>
      <c r="E151" s="7" t="n"/>
      <c r="F151" s="7" t="n"/>
      <c r="G151" s="43" t="n"/>
      <c r="H151" s="7" t="n"/>
      <c r="I151" s="26" t="n"/>
      <c r="J151" s="7" t="n"/>
      <c r="K151" s="26" t="n"/>
      <c r="L151" s="7" t="n"/>
      <c r="M151" s="26" t="n"/>
    </row>
    <row r="152">
      <c r="A152" s="26" t="n"/>
      <c r="B152" s="42" t="n"/>
      <c r="C152" s="7" t="n"/>
      <c r="D152" s="23">
        <f>IF(C152="","",IF(ISNUMBER(SEARCH("tiktok",C152)),"TikTok",IF(OR(ISNUMBER(SEARCH("facebook",C152)),ISNUMBER(SEARCH("fb.watch",C152))),"Facebook",IF(OR(ISNUMBER(SEARCH("youtube",C152)),ISNUMBER(SEARCH("youtu.be",C152))),"YouTube",IF(ISNUMBER(SEARCH("instagram",C152)),"Instagram","Khác")))))</f>
        <v/>
      </c>
      <c r="E152" s="7" t="n"/>
      <c r="F152" s="7" t="n"/>
      <c r="G152" s="43" t="n"/>
      <c r="H152" s="7" t="n"/>
      <c r="I152" s="26" t="n"/>
      <c r="J152" s="7" t="n"/>
      <c r="K152" s="26" t="n"/>
      <c r="L152" s="7" t="n"/>
      <c r="M152" s="26" t="n"/>
    </row>
    <row r="153">
      <c r="A153" s="26" t="n"/>
      <c r="B153" s="42" t="n"/>
      <c r="C153" s="7" t="n"/>
      <c r="D153" s="23">
        <f>IF(C153="","",IF(ISNUMBER(SEARCH("tiktok",C153)),"TikTok",IF(OR(ISNUMBER(SEARCH("facebook",C153)),ISNUMBER(SEARCH("fb.watch",C153))),"Facebook",IF(OR(ISNUMBER(SEARCH("youtube",C153)),ISNUMBER(SEARCH("youtu.be",C153))),"YouTube",IF(ISNUMBER(SEARCH("instagram",C153)),"Instagram","Khác")))))</f>
        <v/>
      </c>
      <c r="E153" s="7" t="n"/>
      <c r="F153" s="7" t="n"/>
      <c r="G153" s="43" t="n"/>
      <c r="H153" s="7" t="n"/>
      <c r="I153" s="26" t="n"/>
      <c r="J153" s="7" t="n"/>
      <c r="K153" s="26" t="n"/>
      <c r="L153" s="7" t="n"/>
      <c r="M153" s="26" t="n"/>
    </row>
    <row r="154">
      <c r="A154" s="26" t="n"/>
      <c r="B154" s="42" t="n"/>
      <c r="C154" s="7" t="n"/>
      <c r="D154" s="23">
        <f>IF(C154="","",IF(ISNUMBER(SEARCH("tiktok",C154)),"TikTok",IF(OR(ISNUMBER(SEARCH("facebook",C154)),ISNUMBER(SEARCH("fb.watch",C154))),"Facebook",IF(OR(ISNUMBER(SEARCH("youtube",C154)),ISNUMBER(SEARCH("youtu.be",C154))),"YouTube",IF(ISNUMBER(SEARCH("instagram",C154)),"Instagram","Khác")))))</f>
        <v/>
      </c>
      <c r="E154" s="7" t="n"/>
      <c r="F154" s="7" t="n"/>
      <c r="G154" s="43" t="n"/>
      <c r="H154" s="7" t="n"/>
      <c r="I154" s="26" t="n"/>
      <c r="J154" s="7" t="n"/>
      <c r="K154" s="26" t="n"/>
      <c r="L154" s="7" t="n"/>
      <c r="M154" s="26" t="n"/>
    </row>
    <row r="155">
      <c r="A155" s="26" t="n"/>
      <c r="B155" s="42" t="n"/>
      <c r="C155" s="7" t="n"/>
      <c r="D155" s="23">
        <f>IF(C155="","",IF(ISNUMBER(SEARCH("tiktok",C155)),"TikTok",IF(OR(ISNUMBER(SEARCH("facebook",C155)),ISNUMBER(SEARCH("fb.watch",C155))),"Facebook",IF(OR(ISNUMBER(SEARCH("youtube",C155)),ISNUMBER(SEARCH("youtu.be",C155))),"YouTube",IF(ISNUMBER(SEARCH("instagram",C155)),"Instagram","Khác")))))</f>
        <v/>
      </c>
      <c r="E155" s="7" t="n"/>
      <c r="F155" s="7" t="n"/>
      <c r="G155" s="43" t="n"/>
      <c r="H155" s="7" t="n"/>
      <c r="I155" s="26" t="n"/>
      <c r="J155" s="7" t="n"/>
      <c r="K155" s="26" t="n"/>
      <c r="L155" s="7" t="n"/>
      <c r="M155" s="26" t="n"/>
    </row>
    <row r="156">
      <c r="A156" s="26" t="n"/>
      <c r="B156" s="42" t="n"/>
      <c r="C156" s="7" t="n"/>
      <c r="D156" s="23">
        <f>IF(C156="","",IF(ISNUMBER(SEARCH("tiktok",C156)),"TikTok",IF(OR(ISNUMBER(SEARCH("facebook",C156)),ISNUMBER(SEARCH("fb.watch",C156))),"Facebook",IF(OR(ISNUMBER(SEARCH("youtube",C156)),ISNUMBER(SEARCH("youtu.be",C156))),"YouTube",IF(ISNUMBER(SEARCH("instagram",C156)),"Instagram","Khác")))))</f>
        <v/>
      </c>
      <c r="E156" s="7" t="n"/>
      <c r="F156" s="7" t="n"/>
      <c r="G156" s="43" t="n"/>
      <c r="H156" s="7" t="n"/>
      <c r="I156" s="26" t="n"/>
      <c r="J156" s="7" t="n"/>
      <c r="K156" s="26" t="n"/>
      <c r="L156" s="7" t="n"/>
      <c r="M156" s="26" t="n"/>
    </row>
    <row r="157">
      <c r="A157" s="26" t="n"/>
      <c r="B157" s="42" t="n"/>
      <c r="C157" s="7" t="n"/>
      <c r="D157" s="23">
        <f>IF(C157="","",IF(ISNUMBER(SEARCH("tiktok",C157)),"TikTok",IF(OR(ISNUMBER(SEARCH("facebook",C157)),ISNUMBER(SEARCH("fb.watch",C157))),"Facebook",IF(OR(ISNUMBER(SEARCH("youtube",C157)),ISNUMBER(SEARCH("youtu.be",C157))),"YouTube",IF(ISNUMBER(SEARCH("instagram",C157)),"Instagram","Khác")))))</f>
        <v/>
      </c>
      <c r="E157" s="7" t="n"/>
      <c r="F157" s="7" t="n"/>
      <c r="G157" s="43" t="n"/>
      <c r="H157" s="7" t="n"/>
      <c r="I157" s="26" t="n"/>
      <c r="J157" s="7" t="n"/>
      <c r="K157" s="26" t="n"/>
      <c r="L157" s="7" t="n"/>
      <c r="M157" s="26" t="n"/>
    </row>
    <row r="158">
      <c r="A158" s="26" t="n"/>
      <c r="B158" s="42" t="n"/>
      <c r="C158" s="7" t="n"/>
      <c r="D158" s="23">
        <f>IF(C158="","",IF(ISNUMBER(SEARCH("tiktok",C158)),"TikTok",IF(OR(ISNUMBER(SEARCH("facebook",C158)),ISNUMBER(SEARCH("fb.watch",C158))),"Facebook",IF(OR(ISNUMBER(SEARCH("youtube",C158)),ISNUMBER(SEARCH("youtu.be",C158))),"YouTube",IF(ISNUMBER(SEARCH("instagram",C158)),"Instagram","Khác")))))</f>
        <v/>
      </c>
      <c r="E158" s="7" t="n"/>
      <c r="F158" s="7" t="n"/>
      <c r="G158" s="43" t="n"/>
      <c r="H158" s="7" t="n"/>
      <c r="I158" s="26" t="n"/>
      <c r="J158" s="7" t="n"/>
      <c r="K158" s="26" t="n"/>
      <c r="L158" s="7" t="n"/>
      <c r="M158" s="26" t="n"/>
    </row>
    <row r="159">
      <c r="A159" s="26" t="n"/>
      <c r="B159" s="42" t="n"/>
      <c r="C159" s="7" t="n"/>
      <c r="D159" s="23">
        <f>IF(C159="","",IF(ISNUMBER(SEARCH("tiktok",C159)),"TikTok",IF(OR(ISNUMBER(SEARCH("facebook",C159)),ISNUMBER(SEARCH("fb.watch",C159))),"Facebook",IF(OR(ISNUMBER(SEARCH("youtube",C159)),ISNUMBER(SEARCH("youtu.be",C159))),"YouTube",IF(ISNUMBER(SEARCH("instagram",C159)),"Instagram","Khác")))))</f>
        <v/>
      </c>
      <c r="E159" s="7" t="n"/>
      <c r="F159" s="7" t="n"/>
      <c r="G159" s="43" t="n"/>
      <c r="H159" s="7" t="n"/>
      <c r="I159" s="26" t="n"/>
      <c r="J159" s="7" t="n"/>
      <c r="K159" s="26" t="n"/>
      <c r="L159" s="7" t="n"/>
      <c r="M159" s="26" t="n"/>
    </row>
    <row r="160">
      <c r="A160" s="26" t="n"/>
      <c r="B160" s="42" t="n"/>
      <c r="C160" s="7" t="n"/>
      <c r="D160" s="23">
        <f>IF(C160="","",IF(ISNUMBER(SEARCH("tiktok",C160)),"TikTok",IF(OR(ISNUMBER(SEARCH("facebook",C160)),ISNUMBER(SEARCH("fb.watch",C160))),"Facebook",IF(OR(ISNUMBER(SEARCH("youtube",C160)),ISNUMBER(SEARCH("youtu.be",C160))),"YouTube",IF(ISNUMBER(SEARCH("instagram",C160)),"Instagram","Khác")))))</f>
        <v/>
      </c>
      <c r="E160" s="7" t="n"/>
      <c r="F160" s="7" t="n"/>
      <c r="G160" s="43" t="n"/>
      <c r="H160" s="7" t="n"/>
      <c r="I160" s="26" t="n"/>
      <c r="J160" s="7" t="n"/>
      <c r="K160" s="26" t="n"/>
      <c r="L160" s="7" t="n"/>
      <c r="M160" s="26" t="n"/>
    </row>
    <row r="161">
      <c r="A161" s="26" t="n"/>
      <c r="B161" s="42" t="n"/>
      <c r="C161" s="7" t="n"/>
      <c r="D161" s="23">
        <f>IF(C161="","",IF(ISNUMBER(SEARCH("tiktok",C161)),"TikTok",IF(OR(ISNUMBER(SEARCH("facebook",C161)),ISNUMBER(SEARCH("fb.watch",C161))),"Facebook",IF(OR(ISNUMBER(SEARCH("youtube",C161)),ISNUMBER(SEARCH("youtu.be",C161))),"YouTube",IF(ISNUMBER(SEARCH("instagram",C161)),"Instagram","Khác")))))</f>
        <v/>
      </c>
      <c r="E161" s="7" t="n"/>
      <c r="F161" s="7" t="n"/>
      <c r="G161" s="43" t="n"/>
      <c r="H161" s="7" t="n"/>
      <c r="I161" s="26" t="n"/>
      <c r="J161" s="7" t="n"/>
      <c r="K161" s="26" t="n"/>
      <c r="L161" s="7" t="n"/>
      <c r="M161" s="26" t="n"/>
    </row>
    <row r="162">
      <c r="A162" s="26" t="n"/>
      <c r="B162" s="42" t="n"/>
      <c r="C162" s="7" t="n"/>
      <c r="D162" s="23">
        <f>IF(C162="","",IF(ISNUMBER(SEARCH("tiktok",C162)),"TikTok",IF(OR(ISNUMBER(SEARCH("facebook",C162)),ISNUMBER(SEARCH("fb.watch",C162))),"Facebook",IF(OR(ISNUMBER(SEARCH("youtube",C162)),ISNUMBER(SEARCH("youtu.be",C162))),"YouTube",IF(ISNUMBER(SEARCH("instagram",C162)),"Instagram","Khác")))))</f>
        <v/>
      </c>
      <c r="E162" s="7" t="n"/>
      <c r="F162" s="7" t="n"/>
      <c r="G162" s="43" t="n"/>
      <c r="H162" s="7" t="n"/>
      <c r="I162" s="26" t="n"/>
      <c r="J162" s="7" t="n"/>
      <c r="K162" s="26" t="n"/>
      <c r="L162" s="7" t="n"/>
      <c r="M162" s="26" t="n"/>
    </row>
    <row r="163">
      <c r="A163" s="26" t="n"/>
      <c r="B163" s="42" t="n"/>
      <c r="C163" s="7" t="n"/>
      <c r="D163" s="23">
        <f>IF(C163="","",IF(ISNUMBER(SEARCH("tiktok",C163)),"TikTok",IF(OR(ISNUMBER(SEARCH("facebook",C163)),ISNUMBER(SEARCH("fb.watch",C163))),"Facebook",IF(OR(ISNUMBER(SEARCH("youtube",C163)),ISNUMBER(SEARCH("youtu.be",C163))),"YouTube",IF(ISNUMBER(SEARCH("instagram",C163)),"Instagram","Khác")))))</f>
        <v/>
      </c>
      <c r="E163" s="7" t="n"/>
      <c r="F163" s="7" t="n"/>
      <c r="G163" s="43" t="n"/>
      <c r="H163" s="7" t="n"/>
      <c r="I163" s="26" t="n"/>
      <c r="J163" s="7" t="n"/>
      <c r="K163" s="26" t="n"/>
      <c r="L163" s="7" t="n"/>
      <c r="M163" s="26" t="n"/>
    </row>
    <row r="164">
      <c r="A164" s="26" t="n"/>
      <c r="B164" s="42" t="n"/>
      <c r="C164" s="7" t="n"/>
      <c r="D164" s="23">
        <f>IF(C164="","",IF(ISNUMBER(SEARCH("tiktok",C164)),"TikTok",IF(OR(ISNUMBER(SEARCH("facebook",C164)),ISNUMBER(SEARCH("fb.watch",C164))),"Facebook",IF(OR(ISNUMBER(SEARCH("youtube",C164)),ISNUMBER(SEARCH("youtu.be",C164))),"YouTube",IF(ISNUMBER(SEARCH("instagram",C164)),"Instagram","Khác")))))</f>
        <v/>
      </c>
      <c r="E164" s="7" t="n"/>
      <c r="F164" s="7" t="n"/>
      <c r="G164" s="43" t="n"/>
      <c r="H164" s="7" t="n"/>
      <c r="I164" s="26" t="n"/>
      <c r="J164" s="7" t="n"/>
      <c r="K164" s="26" t="n"/>
      <c r="L164" s="7" t="n"/>
      <c r="M164" s="26" t="n"/>
    </row>
    <row r="165">
      <c r="A165" s="26" t="n"/>
      <c r="B165" s="42" t="n"/>
      <c r="C165" s="7" t="n"/>
      <c r="D165" s="23">
        <f>IF(C165="","",IF(ISNUMBER(SEARCH("tiktok",C165)),"TikTok",IF(OR(ISNUMBER(SEARCH("facebook",C165)),ISNUMBER(SEARCH("fb.watch",C165))),"Facebook",IF(OR(ISNUMBER(SEARCH("youtube",C165)),ISNUMBER(SEARCH("youtu.be",C165))),"YouTube",IF(ISNUMBER(SEARCH("instagram",C165)),"Instagram","Khác")))))</f>
        <v/>
      </c>
      <c r="E165" s="7" t="n"/>
      <c r="F165" s="7" t="n"/>
      <c r="G165" s="43" t="n"/>
      <c r="H165" s="7" t="n"/>
      <c r="I165" s="26" t="n"/>
      <c r="J165" s="7" t="n"/>
      <c r="K165" s="26" t="n"/>
      <c r="L165" s="7" t="n"/>
      <c r="M165" s="26" t="n"/>
    </row>
    <row r="166">
      <c r="A166" s="26" t="n"/>
      <c r="B166" s="42" t="n"/>
      <c r="C166" s="7" t="n"/>
      <c r="D166" s="23">
        <f>IF(C166="","",IF(ISNUMBER(SEARCH("tiktok",C166)),"TikTok",IF(OR(ISNUMBER(SEARCH("facebook",C166)),ISNUMBER(SEARCH("fb.watch",C166))),"Facebook",IF(OR(ISNUMBER(SEARCH("youtube",C166)),ISNUMBER(SEARCH("youtu.be",C166))),"YouTube",IF(ISNUMBER(SEARCH("instagram",C166)),"Instagram","Khác")))))</f>
        <v/>
      </c>
      <c r="E166" s="7" t="n"/>
      <c r="F166" s="7" t="n"/>
      <c r="G166" s="43" t="n"/>
      <c r="H166" s="7" t="n"/>
      <c r="I166" s="26" t="n"/>
      <c r="J166" s="7" t="n"/>
      <c r="K166" s="26" t="n"/>
      <c r="L166" s="7" t="n"/>
      <c r="M166" s="26" t="n"/>
    </row>
    <row r="167">
      <c r="A167" s="26" t="n"/>
      <c r="B167" s="42" t="n"/>
      <c r="C167" s="7" t="n"/>
      <c r="D167" s="23">
        <f>IF(C167="","",IF(ISNUMBER(SEARCH("tiktok",C167)),"TikTok",IF(OR(ISNUMBER(SEARCH("facebook",C167)),ISNUMBER(SEARCH("fb.watch",C167))),"Facebook",IF(OR(ISNUMBER(SEARCH("youtube",C167)),ISNUMBER(SEARCH("youtu.be",C167))),"YouTube",IF(ISNUMBER(SEARCH("instagram",C167)),"Instagram","Khác")))))</f>
        <v/>
      </c>
      <c r="E167" s="7" t="n"/>
      <c r="F167" s="7" t="n"/>
      <c r="G167" s="43" t="n"/>
      <c r="H167" s="7" t="n"/>
      <c r="I167" s="26" t="n"/>
      <c r="J167" s="7" t="n"/>
      <c r="K167" s="26" t="n"/>
      <c r="L167" s="7" t="n"/>
      <c r="M167" s="26" t="n"/>
    </row>
    <row r="168">
      <c r="A168" s="26" t="n"/>
      <c r="B168" s="42" t="n"/>
      <c r="C168" s="7" t="n"/>
      <c r="D168" s="23">
        <f>IF(C168="","",IF(ISNUMBER(SEARCH("tiktok",C168)),"TikTok",IF(OR(ISNUMBER(SEARCH("facebook",C168)),ISNUMBER(SEARCH("fb.watch",C168))),"Facebook",IF(OR(ISNUMBER(SEARCH("youtube",C168)),ISNUMBER(SEARCH("youtu.be",C168))),"YouTube",IF(ISNUMBER(SEARCH("instagram",C168)),"Instagram","Khác")))))</f>
        <v/>
      </c>
      <c r="E168" s="7" t="n"/>
      <c r="F168" s="7" t="n"/>
      <c r="G168" s="43" t="n"/>
      <c r="H168" s="7" t="n"/>
      <c r="I168" s="26" t="n"/>
      <c r="J168" s="7" t="n"/>
      <c r="K168" s="26" t="n"/>
      <c r="L168" s="7" t="n"/>
      <c r="M168" s="26" t="n"/>
    </row>
    <row r="169">
      <c r="A169" s="26" t="n"/>
      <c r="B169" s="42" t="n"/>
      <c r="C169" s="7" t="n"/>
      <c r="D169" s="23">
        <f>IF(C169="","",IF(ISNUMBER(SEARCH("tiktok",C169)),"TikTok",IF(OR(ISNUMBER(SEARCH("facebook",C169)),ISNUMBER(SEARCH("fb.watch",C169))),"Facebook",IF(OR(ISNUMBER(SEARCH("youtube",C169)),ISNUMBER(SEARCH("youtu.be",C169))),"YouTube",IF(ISNUMBER(SEARCH("instagram",C169)),"Instagram","Khác")))))</f>
        <v/>
      </c>
      <c r="E169" s="7" t="n"/>
      <c r="F169" s="7" t="n"/>
      <c r="G169" s="43" t="n"/>
      <c r="H169" s="7" t="n"/>
      <c r="I169" s="26" t="n"/>
      <c r="J169" s="7" t="n"/>
      <c r="K169" s="26" t="n"/>
      <c r="L169" s="7" t="n"/>
      <c r="M169" s="26" t="n"/>
    </row>
    <row r="170">
      <c r="A170" s="26" t="n"/>
      <c r="B170" s="42" t="n"/>
      <c r="C170" s="7" t="n"/>
      <c r="D170" s="23">
        <f>IF(C170="","",IF(ISNUMBER(SEARCH("tiktok",C170)),"TikTok",IF(OR(ISNUMBER(SEARCH("facebook",C170)),ISNUMBER(SEARCH("fb.watch",C170))),"Facebook",IF(OR(ISNUMBER(SEARCH("youtube",C170)),ISNUMBER(SEARCH("youtu.be",C170))),"YouTube",IF(ISNUMBER(SEARCH("instagram",C170)),"Instagram","Khác")))))</f>
        <v/>
      </c>
      <c r="E170" s="7" t="n"/>
      <c r="F170" s="7" t="n"/>
      <c r="G170" s="43" t="n"/>
      <c r="H170" s="7" t="n"/>
      <c r="I170" s="26" t="n"/>
      <c r="J170" s="7" t="n"/>
      <c r="K170" s="26" t="n"/>
      <c r="L170" s="7" t="n"/>
      <c r="M170" s="26" t="n"/>
    </row>
    <row r="171">
      <c r="A171" s="26" t="n"/>
      <c r="B171" s="42" t="n"/>
      <c r="C171" s="7" t="n"/>
      <c r="D171" s="23">
        <f>IF(C171="","",IF(ISNUMBER(SEARCH("tiktok",C171)),"TikTok",IF(OR(ISNUMBER(SEARCH("facebook",C171)),ISNUMBER(SEARCH("fb.watch",C171))),"Facebook",IF(OR(ISNUMBER(SEARCH("youtube",C171)),ISNUMBER(SEARCH("youtu.be",C171))),"YouTube",IF(ISNUMBER(SEARCH("instagram",C171)),"Instagram","Khác")))))</f>
        <v/>
      </c>
      <c r="E171" s="7" t="n"/>
      <c r="F171" s="7" t="n"/>
      <c r="G171" s="43" t="n"/>
      <c r="H171" s="7" t="n"/>
      <c r="I171" s="26" t="n"/>
      <c r="J171" s="7" t="n"/>
      <c r="K171" s="26" t="n"/>
      <c r="L171" s="7" t="n"/>
      <c r="M171" s="26" t="n"/>
    </row>
    <row r="172">
      <c r="A172" s="26" t="n"/>
      <c r="B172" s="42" t="n"/>
      <c r="C172" s="7" t="n"/>
      <c r="D172" s="23">
        <f>IF(C172="","",IF(ISNUMBER(SEARCH("tiktok",C172)),"TikTok",IF(OR(ISNUMBER(SEARCH("facebook",C172)),ISNUMBER(SEARCH("fb.watch",C172))),"Facebook",IF(OR(ISNUMBER(SEARCH("youtube",C172)),ISNUMBER(SEARCH("youtu.be",C172))),"YouTube",IF(ISNUMBER(SEARCH("instagram",C172)),"Instagram","Khác")))))</f>
        <v/>
      </c>
      <c r="E172" s="7" t="n"/>
      <c r="F172" s="7" t="n"/>
      <c r="G172" s="43" t="n"/>
      <c r="H172" s="7" t="n"/>
      <c r="I172" s="26" t="n"/>
      <c r="J172" s="7" t="n"/>
      <c r="K172" s="26" t="n"/>
      <c r="L172" s="7" t="n"/>
      <c r="M172" s="26" t="n"/>
    </row>
    <row r="173">
      <c r="A173" s="26" t="n"/>
      <c r="B173" s="42" t="n"/>
      <c r="C173" s="7" t="n"/>
      <c r="D173" s="23">
        <f>IF(C173="","",IF(ISNUMBER(SEARCH("tiktok",C173)),"TikTok",IF(OR(ISNUMBER(SEARCH("facebook",C173)),ISNUMBER(SEARCH("fb.watch",C173))),"Facebook",IF(OR(ISNUMBER(SEARCH("youtube",C173)),ISNUMBER(SEARCH("youtu.be",C173))),"YouTube",IF(ISNUMBER(SEARCH("instagram",C173)),"Instagram","Khác")))))</f>
        <v/>
      </c>
      <c r="E173" s="7" t="n"/>
      <c r="F173" s="7" t="n"/>
      <c r="G173" s="43" t="n"/>
      <c r="H173" s="7" t="n"/>
      <c r="I173" s="26" t="n"/>
      <c r="J173" s="7" t="n"/>
      <c r="K173" s="26" t="n"/>
      <c r="L173" s="7" t="n"/>
      <c r="M173" s="26" t="n"/>
    </row>
    <row r="174">
      <c r="A174" s="26" t="n"/>
      <c r="B174" s="42" t="n"/>
      <c r="C174" s="7" t="n"/>
      <c r="D174" s="23">
        <f>IF(C174="","",IF(ISNUMBER(SEARCH("tiktok",C174)),"TikTok",IF(OR(ISNUMBER(SEARCH("facebook",C174)),ISNUMBER(SEARCH("fb.watch",C174))),"Facebook",IF(OR(ISNUMBER(SEARCH("youtube",C174)),ISNUMBER(SEARCH("youtu.be",C174))),"YouTube",IF(ISNUMBER(SEARCH("instagram",C174)),"Instagram","Khác")))))</f>
        <v/>
      </c>
      <c r="E174" s="7" t="n"/>
      <c r="F174" s="7" t="n"/>
      <c r="G174" s="43" t="n"/>
      <c r="H174" s="7" t="n"/>
      <c r="I174" s="26" t="n"/>
      <c r="J174" s="7" t="n"/>
      <c r="K174" s="26" t="n"/>
      <c r="L174" s="7" t="n"/>
      <c r="M174" s="26" t="n"/>
    </row>
    <row r="175">
      <c r="A175" s="26" t="n"/>
      <c r="B175" s="42" t="n"/>
      <c r="C175" s="7" t="n"/>
      <c r="D175" s="23">
        <f>IF(C175="","",IF(ISNUMBER(SEARCH("tiktok",C175)),"TikTok",IF(OR(ISNUMBER(SEARCH("facebook",C175)),ISNUMBER(SEARCH("fb.watch",C175))),"Facebook",IF(OR(ISNUMBER(SEARCH("youtube",C175)),ISNUMBER(SEARCH("youtu.be",C175))),"YouTube",IF(ISNUMBER(SEARCH("instagram",C175)),"Instagram","Khác")))))</f>
        <v/>
      </c>
      <c r="E175" s="7" t="n"/>
      <c r="F175" s="7" t="n"/>
      <c r="G175" s="43" t="n"/>
      <c r="H175" s="7" t="n"/>
      <c r="I175" s="26" t="n"/>
      <c r="J175" s="7" t="n"/>
      <c r="K175" s="26" t="n"/>
      <c r="L175" s="7" t="n"/>
      <c r="M175" s="26" t="n"/>
    </row>
    <row r="176">
      <c r="A176" s="26" t="n"/>
      <c r="B176" s="42" t="n"/>
      <c r="C176" s="7" t="n"/>
      <c r="D176" s="23">
        <f>IF(C176="","",IF(ISNUMBER(SEARCH("tiktok",C176)),"TikTok",IF(OR(ISNUMBER(SEARCH("facebook",C176)),ISNUMBER(SEARCH("fb.watch",C176))),"Facebook",IF(OR(ISNUMBER(SEARCH("youtube",C176)),ISNUMBER(SEARCH("youtu.be",C176))),"YouTube",IF(ISNUMBER(SEARCH("instagram",C176)),"Instagram","Khác")))))</f>
        <v/>
      </c>
      <c r="E176" s="7" t="n"/>
      <c r="F176" s="7" t="n"/>
      <c r="G176" s="43" t="n"/>
      <c r="H176" s="7" t="n"/>
      <c r="I176" s="26" t="n"/>
      <c r="J176" s="7" t="n"/>
      <c r="K176" s="26" t="n"/>
      <c r="L176" s="7" t="n"/>
      <c r="M176" s="26" t="n"/>
    </row>
    <row r="177">
      <c r="A177" s="26" t="n"/>
      <c r="B177" s="42" t="n"/>
      <c r="C177" s="7" t="n"/>
      <c r="D177" s="23">
        <f>IF(C177="","",IF(ISNUMBER(SEARCH("tiktok",C177)),"TikTok",IF(OR(ISNUMBER(SEARCH("facebook",C177)),ISNUMBER(SEARCH("fb.watch",C177))),"Facebook",IF(OR(ISNUMBER(SEARCH("youtube",C177)),ISNUMBER(SEARCH("youtu.be",C177))),"YouTube",IF(ISNUMBER(SEARCH("instagram",C177)),"Instagram","Khác")))))</f>
        <v/>
      </c>
      <c r="E177" s="7" t="n"/>
      <c r="F177" s="7" t="n"/>
      <c r="G177" s="43" t="n"/>
      <c r="H177" s="7" t="n"/>
      <c r="I177" s="26" t="n"/>
      <c r="J177" s="7" t="n"/>
      <c r="K177" s="26" t="n"/>
      <c r="L177" s="7" t="n"/>
      <c r="M177" s="26" t="n"/>
    </row>
    <row r="178">
      <c r="A178" s="26" t="n"/>
      <c r="B178" s="42" t="n"/>
      <c r="C178" s="7" t="n"/>
      <c r="D178" s="23">
        <f>IF(C178="","",IF(ISNUMBER(SEARCH("tiktok",C178)),"TikTok",IF(OR(ISNUMBER(SEARCH("facebook",C178)),ISNUMBER(SEARCH("fb.watch",C178))),"Facebook",IF(OR(ISNUMBER(SEARCH("youtube",C178)),ISNUMBER(SEARCH("youtu.be",C178))),"YouTube",IF(ISNUMBER(SEARCH("instagram",C178)),"Instagram","Khác")))))</f>
        <v/>
      </c>
      <c r="E178" s="7" t="n"/>
      <c r="F178" s="7" t="n"/>
      <c r="G178" s="43" t="n"/>
      <c r="H178" s="7" t="n"/>
      <c r="I178" s="26" t="n"/>
      <c r="J178" s="7" t="n"/>
      <c r="K178" s="26" t="n"/>
      <c r="L178" s="7" t="n"/>
      <c r="M178" s="26" t="n"/>
    </row>
    <row r="179">
      <c r="A179" s="26" t="n"/>
      <c r="B179" s="42" t="n"/>
      <c r="C179" s="7" t="n"/>
      <c r="D179" s="23">
        <f>IF(C179="","",IF(ISNUMBER(SEARCH("tiktok",C179)),"TikTok",IF(OR(ISNUMBER(SEARCH("facebook",C179)),ISNUMBER(SEARCH("fb.watch",C179))),"Facebook",IF(OR(ISNUMBER(SEARCH("youtube",C179)),ISNUMBER(SEARCH("youtu.be",C179))),"YouTube",IF(ISNUMBER(SEARCH("instagram",C179)),"Instagram","Khác")))))</f>
        <v/>
      </c>
      <c r="E179" s="7" t="n"/>
      <c r="F179" s="7" t="n"/>
      <c r="G179" s="43" t="n"/>
      <c r="H179" s="7" t="n"/>
      <c r="I179" s="26" t="n"/>
      <c r="J179" s="7" t="n"/>
      <c r="K179" s="26" t="n"/>
      <c r="L179" s="7" t="n"/>
      <c r="M179" s="26" t="n"/>
    </row>
    <row r="180">
      <c r="A180" s="26" t="n"/>
      <c r="B180" s="42" t="n"/>
      <c r="C180" s="7" t="n"/>
      <c r="D180" s="23">
        <f>IF(C180="","",IF(ISNUMBER(SEARCH("tiktok",C180)),"TikTok",IF(OR(ISNUMBER(SEARCH("facebook",C180)),ISNUMBER(SEARCH("fb.watch",C180))),"Facebook",IF(OR(ISNUMBER(SEARCH("youtube",C180)),ISNUMBER(SEARCH("youtu.be",C180))),"YouTube",IF(ISNUMBER(SEARCH("instagram",C180)),"Instagram","Khác")))))</f>
        <v/>
      </c>
      <c r="E180" s="7" t="n"/>
      <c r="F180" s="7" t="n"/>
      <c r="G180" s="43" t="n"/>
      <c r="H180" s="7" t="n"/>
      <c r="I180" s="26" t="n"/>
      <c r="J180" s="7" t="n"/>
      <c r="K180" s="26" t="n"/>
      <c r="L180" s="7" t="n"/>
      <c r="M180" s="26" t="n"/>
    </row>
    <row r="181">
      <c r="A181" s="26" t="n"/>
      <c r="B181" s="42" t="n"/>
      <c r="C181" s="7" t="n"/>
      <c r="D181" s="23">
        <f>IF(C181="","",IF(ISNUMBER(SEARCH("tiktok",C181)),"TikTok",IF(OR(ISNUMBER(SEARCH("facebook",C181)),ISNUMBER(SEARCH("fb.watch",C181))),"Facebook",IF(OR(ISNUMBER(SEARCH("youtube",C181)),ISNUMBER(SEARCH("youtu.be",C181))),"YouTube",IF(ISNUMBER(SEARCH("instagram",C181)),"Instagram","Khác")))))</f>
        <v/>
      </c>
      <c r="E181" s="7" t="n"/>
      <c r="F181" s="7" t="n"/>
      <c r="G181" s="43" t="n"/>
      <c r="H181" s="7" t="n"/>
      <c r="I181" s="26" t="n"/>
      <c r="J181" s="7" t="n"/>
      <c r="K181" s="26" t="n"/>
      <c r="L181" s="7" t="n"/>
      <c r="M181" s="26" t="n"/>
    </row>
    <row r="182">
      <c r="A182" s="26" t="n"/>
      <c r="B182" s="42" t="n"/>
      <c r="C182" s="7" t="n"/>
      <c r="D182" s="23">
        <f>IF(C182="","",IF(ISNUMBER(SEARCH("tiktok",C182)),"TikTok",IF(OR(ISNUMBER(SEARCH("facebook",C182)),ISNUMBER(SEARCH("fb.watch",C182))),"Facebook",IF(OR(ISNUMBER(SEARCH("youtube",C182)),ISNUMBER(SEARCH("youtu.be",C182))),"YouTube",IF(ISNUMBER(SEARCH("instagram",C182)),"Instagram","Khác")))))</f>
        <v/>
      </c>
      <c r="E182" s="7" t="n"/>
      <c r="F182" s="7" t="n"/>
      <c r="G182" s="43" t="n"/>
      <c r="H182" s="7" t="n"/>
      <c r="I182" s="26" t="n"/>
      <c r="J182" s="7" t="n"/>
      <c r="K182" s="26" t="n"/>
      <c r="L182" s="7" t="n"/>
      <c r="M182" s="26" t="n"/>
    </row>
    <row r="183">
      <c r="A183" s="26" t="n"/>
      <c r="B183" s="42" t="n"/>
      <c r="C183" s="7" t="n"/>
      <c r="D183" s="23">
        <f>IF(C183="","",IF(ISNUMBER(SEARCH("tiktok",C183)),"TikTok",IF(OR(ISNUMBER(SEARCH("facebook",C183)),ISNUMBER(SEARCH("fb.watch",C183))),"Facebook",IF(OR(ISNUMBER(SEARCH("youtube",C183)),ISNUMBER(SEARCH("youtu.be",C183))),"YouTube",IF(ISNUMBER(SEARCH("instagram",C183)),"Instagram","Khác")))))</f>
        <v/>
      </c>
      <c r="E183" s="7" t="n"/>
      <c r="F183" s="7" t="n"/>
      <c r="G183" s="43" t="n"/>
      <c r="H183" s="7" t="n"/>
      <c r="I183" s="26" t="n"/>
      <c r="J183" s="7" t="n"/>
      <c r="K183" s="26" t="n"/>
      <c r="L183" s="7" t="n"/>
      <c r="M183" s="26" t="n"/>
    </row>
    <row r="184">
      <c r="A184" s="26" t="n"/>
      <c r="B184" s="42" t="n"/>
      <c r="C184" s="7" t="n"/>
      <c r="D184" s="23">
        <f>IF(C184="","",IF(ISNUMBER(SEARCH("tiktok",C184)),"TikTok",IF(OR(ISNUMBER(SEARCH("facebook",C184)),ISNUMBER(SEARCH("fb.watch",C184))),"Facebook",IF(OR(ISNUMBER(SEARCH("youtube",C184)),ISNUMBER(SEARCH("youtu.be",C184))),"YouTube",IF(ISNUMBER(SEARCH("instagram",C184)),"Instagram","Khác")))))</f>
        <v/>
      </c>
      <c r="E184" s="7" t="n"/>
      <c r="F184" s="7" t="n"/>
      <c r="G184" s="43" t="n"/>
      <c r="H184" s="7" t="n"/>
      <c r="I184" s="26" t="n"/>
      <c r="J184" s="7" t="n"/>
      <c r="K184" s="26" t="n"/>
      <c r="L184" s="7" t="n"/>
      <c r="M184" s="26" t="n"/>
    </row>
    <row r="185">
      <c r="A185" s="26" t="n"/>
      <c r="B185" s="42" t="n"/>
      <c r="C185" s="7" t="n"/>
      <c r="D185" s="23">
        <f>IF(C185="","",IF(ISNUMBER(SEARCH("tiktok",C185)),"TikTok",IF(OR(ISNUMBER(SEARCH("facebook",C185)),ISNUMBER(SEARCH("fb.watch",C185))),"Facebook",IF(OR(ISNUMBER(SEARCH("youtube",C185)),ISNUMBER(SEARCH("youtu.be",C185))),"YouTube",IF(ISNUMBER(SEARCH("instagram",C185)),"Instagram","Khác")))))</f>
        <v/>
      </c>
      <c r="E185" s="7" t="n"/>
      <c r="F185" s="7" t="n"/>
      <c r="G185" s="43" t="n"/>
      <c r="H185" s="7" t="n"/>
      <c r="I185" s="26" t="n"/>
      <c r="J185" s="7" t="n"/>
      <c r="K185" s="26" t="n"/>
      <c r="L185" s="7" t="n"/>
      <c r="M185" s="26" t="n"/>
    </row>
    <row r="186">
      <c r="A186" s="26" t="n"/>
      <c r="B186" s="42" t="n"/>
      <c r="C186" s="7" t="n"/>
      <c r="D186" s="23">
        <f>IF(C186="","",IF(ISNUMBER(SEARCH("tiktok",C186)),"TikTok",IF(OR(ISNUMBER(SEARCH("facebook",C186)),ISNUMBER(SEARCH("fb.watch",C186))),"Facebook",IF(OR(ISNUMBER(SEARCH("youtube",C186)),ISNUMBER(SEARCH("youtu.be",C186))),"YouTube",IF(ISNUMBER(SEARCH("instagram",C186)),"Instagram","Khác")))))</f>
        <v/>
      </c>
      <c r="E186" s="7" t="n"/>
      <c r="F186" s="7" t="n"/>
      <c r="G186" s="43" t="n"/>
      <c r="H186" s="7" t="n"/>
      <c r="I186" s="26" t="n"/>
      <c r="J186" s="7" t="n"/>
      <c r="K186" s="26" t="n"/>
      <c r="L186" s="7" t="n"/>
      <c r="M186" s="26" t="n"/>
    </row>
    <row r="187">
      <c r="A187" s="26" t="n"/>
      <c r="B187" s="42" t="n"/>
      <c r="C187" s="7" t="n"/>
      <c r="D187" s="23">
        <f>IF(C187="","",IF(ISNUMBER(SEARCH("tiktok",C187)),"TikTok",IF(OR(ISNUMBER(SEARCH("facebook",C187)),ISNUMBER(SEARCH("fb.watch",C187))),"Facebook",IF(OR(ISNUMBER(SEARCH("youtube",C187)),ISNUMBER(SEARCH("youtu.be",C187))),"YouTube",IF(ISNUMBER(SEARCH("instagram",C187)),"Instagram","Khác")))))</f>
        <v/>
      </c>
      <c r="E187" s="7" t="n"/>
      <c r="F187" s="7" t="n"/>
      <c r="G187" s="43" t="n"/>
      <c r="H187" s="7" t="n"/>
      <c r="I187" s="26" t="n"/>
      <c r="J187" s="7" t="n"/>
      <c r="K187" s="26" t="n"/>
      <c r="L187" s="7" t="n"/>
      <c r="M187" s="26" t="n"/>
    </row>
    <row r="188">
      <c r="A188" s="26" t="n"/>
      <c r="B188" s="42" t="n"/>
      <c r="C188" s="7" t="n"/>
      <c r="D188" s="23">
        <f>IF(C188="","",IF(ISNUMBER(SEARCH("tiktok",C188)),"TikTok",IF(OR(ISNUMBER(SEARCH("facebook",C188)),ISNUMBER(SEARCH("fb.watch",C188))),"Facebook",IF(OR(ISNUMBER(SEARCH("youtube",C188)),ISNUMBER(SEARCH("youtu.be",C188))),"YouTube",IF(ISNUMBER(SEARCH("instagram",C188)),"Instagram","Khác")))))</f>
        <v/>
      </c>
      <c r="E188" s="7" t="n"/>
      <c r="F188" s="7" t="n"/>
      <c r="G188" s="43" t="n"/>
      <c r="H188" s="7" t="n"/>
      <c r="I188" s="26" t="n"/>
      <c r="J188" s="7" t="n"/>
      <c r="K188" s="26" t="n"/>
      <c r="L188" s="7" t="n"/>
      <c r="M188" s="26" t="n"/>
    </row>
    <row r="189">
      <c r="A189" s="26" t="n"/>
      <c r="B189" s="42" t="n"/>
      <c r="C189" s="7" t="n"/>
      <c r="D189" s="23">
        <f>IF(C189="","",IF(ISNUMBER(SEARCH("tiktok",C189)),"TikTok",IF(OR(ISNUMBER(SEARCH("facebook",C189)),ISNUMBER(SEARCH("fb.watch",C189))),"Facebook",IF(OR(ISNUMBER(SEARCH("youtube",C189)),ISNUMBER(SEARCH("youtu.be",C189))),"YouTube",IF(ISNUMBER(SEARCH("instagram",C189)),"Instagram","Khác")))))</f>
        <v/>
      </c>
      <c r="E189" s="7" t="n"/>
      <c r="F189" s="7" t="n"/>
      <c r="G189" s="43" t="n"/>
      <c r="H189" s="7" t="n"/>
      <c r="I189" s="26" t="n"/>
      <c r="J189" s="7" t="n"/>
      <c r="K189" s="26" t="n"/>
      <c r="L189" s="7" t="n"/>
      <c r="M189" s="26" t="n"/>
    </row>
    <row r="190">
      <c r="A190" s="26" t="n"/>
      <c r="B190" s="42" t="n"/>
      <c r="C190" s="7" t="n"/>
      <c r="D190" s="23">
        <f>IF(C190="","",IF(ISNUMBER(SEARCH("tiktok",C190)),"TikTok",IF(OR(ISNUMBER(SEARCH("facebook",C190)),ISNUMBER(SEARCH("fb.watch",C190))),"Facebook",IF(OR(ISNUMBER(SEARCH("youtube",C190)),ISNUMBER(SEARCH("youtu.be",C190))),"YouTube",IF(ISNUMBER(SEARCH("instagram",C190)),"Instagram","Khác")))))</f>
        <v/>
      </c>
      <c r="E190" s="7" t="n"/>
      <c r="F190" s="7" t="n"/>
      <c r="G190" s="43" t="n"/>
      <c r="H190" s="7" t="n"/>
      <c r="I190" s="26" t="n"/>
      <c r="J190" s="7" t="n"/>
      <c r="K190" s="26" t="n"/>
      <c r="L190" s="7" t="n"/>
      <c r="M190" s="26" t="n"/>
    </row>
    <row r="191">
      <c r="A191" s="26" t="n"/>
      <c r="B191" s="42" t="n"/>
      <c r="C191" s="7" t="n"/>
      <c r="D191" s="23">
        <f>IF(C191="","",IF(ISNUMBER(SEARCH("tiktok",C191)),"TikTok",IF(OR(ISNUMBER(SEARCH("facebook",C191)),ISNUMBER(SEARCH("fb.watch",C191))),"Facebook",IF(OR(ISNUMBER(SEARCH("youtube",C191)),ISNUMBER(SEARCH("youtu.be",C191))),"YouTube",IF(ISNUMBER(SEARCH("instagram",C191)),"Instagram","Khác")))))</f>
        <v/>
      </c>
      <c r="E191" s="7" t="n"/>
      <c r="F191" s="7" t="n"/>
      <c r="G191" s="43" t="n"/>
      <c r="H191" s="7" t="n"/>
      <c r="I191" s="26" t="n"/>
      <c r="J191" s="7" t="n"/>
      <c r="K191" s="26" t="n"/>
      <c r="L191" s="7" t="n"/>
      <c r="M191" s="26" t="n"/>
    </row>
    <row r="192">
      <c r="A192" s="26" t="n"/>
      <c r="B192" s="42" t="n"/>
      <c r="C192" s="7" t="n"/>
      <c r="D192" s="23">
        <f>IF(C192="","",IF(ISNUMBER(SEARCH("tiktok",C192)),"TikTok",IF(OR(ISNUMBER(SEARCH("facebook",C192)),ISNUMBER(SEARCH("fb.watch",C192))),"Facebook",IF(OR(ISNUMBER(SEARCH("youtube",C192)),ISNUMBER(SEARCH("youtu.be",C192))),"YouTube",IF(ISNUMBER(SEARCH("instagram",C192)),"Instagram","Khác")))))</f>
        <v/>
      </c>
      <c r="E192" s="7" t="n"/>
      <c r="F192" s="7" t="n"/>
      <c r="G192" s="43" t="n"/>
      <c r="H192" s="7" t="n"/>
      <c r="I192" s="26" t="n"/>
      <c r="J192" s="7" t="n"/>
      <c r="K192" s="26" t="n"/>
      <c r="L192" s="7" t="n"/>
      <c r="M192" s="26" t="n"/>
    </row>
    <row r="193">
      <c r="A193" s="26" t="n"/>
      <c r="B193" s="42" t="n"/>
      <c r="C193" s="7" t="n"/>
      <c r="D193" s="23">
        <f>IF(C193="","",IF(ISNUMBER(SEARCH("tiktok",C193)),"TikTok",IF(OR(ISNUMBER(SEARCH("facebook",C193)),ISNUMBER(SEARCH("fb.watch",C193))),"Facebook",IF(OR(ISNUMBER(SEARCH("youtube",C193)),ISNUMBER(SEARCH("youtu.be",C193))),"YouTube",IF(ISNUMBER(SEARCH("instagram",C193)),"Instagram","Khác")))))</f>
        <v/>
      </c>
      <c r="E193" s="7" t="n"/>
      <c r="F193" s="7" t="n"/>
      <c r="G193" s="43" t="n"/>
      <c r="H193" s="7" t="n"/>
      <c r="I193" s="26" t="n"/>
      <c r="J193" s="7" t="n"/>
      <c r="K193" s="26" t="n"/>
      <c r="L193" s="7" t="n"/>
      <c r="M193" s="26" t="n"/>
    </row>
    <row r="194">
      <c r="A194" s="26" t="n"/>
      <c r="B194" s="42" t="n"/>
      <c r="C194" s="7" t="n"/>
      <c r="D194" s="23">
        <f>IF(C194="","",IF(ISNUMBER(SEARCH("tiktok",C194)),"TikTok",IF(OR(ISNUMBER(SEARCH("facebook",C194)),ISNUMBER(SEARCH("fb.watch",C194))),"Facebook",IF(OR(ISNUMBER(SEARCH("youtube",C194)),ISNUMBER(SEARCH("youtu.be",C194))),"YouTube",IF(ISNUMBER(SEARCH("instagram",C194)),"Instagram","Khác")))))</f>
        <v/>
      </c>
      <c r="E194" s="7" t="n"/>
      <c r="F194" s="7" t="n"/>
      <c r="G194" s="43" t="n"/>
      <c r="H194" s="7" t="n"/>
      <c r="I194" s="26" t="n"/>
      <c r="J194" s="7" t="n"/>
      <c r="K194" s="26" t="n"/>
      <c r="L194" s="7" t="n"/>
      <c r="M194" s="26" t="n"/>
    </row>
    <row r="195">
      <c r="A195" s="26" t="n"/>
      <c r="B195" s="42" t="n"/>
      <c r="C195" s="7" t="n"/>
      <c r="D195" s="23">
        <f>IF(C195="","",IF(ISNUMBER(SEARCH("tiktok",C195)),"TikTok",IF(OR(ISNUMBER(SEARCH("facebook",C195)),ISNUMBER(SEARCH("fb.watch",C195))),"Facebook",IF(OR(ISNUMBER(SEARCH("youtube",C195)),ISNUMBER(SEARCH("youtu.be",C195))),"YouTube",IF(ISNUMBER(SEARCH("instagram",C195)),"Instagram","Khác")))))</f>
        <v/>
      </c>
      <c r="E195" s="7" t="n"/>
      <c r="F195" s="7" t="n"/>
      <c r="G195" s="43" t="n"/>
      <c r="H195" s="7" t="n"/>
      <c r="I195" s="26" t="n"/>
      <c r="J195" s="7" t="n"/>
      <c r="K195" s="26" t="n"/>
      <c r="L195" s="7" t="n"/>
      <c r="M195" s="26" t="n"/>
    </row>
    <row r="196">
      <c r="A196" s="26" t="n"/>
      <c r="B196" s="42" t="n"/>
      <c r="C196" s="7" t="n"/>
      <c r="D196" s="23">
        <f>IF(C196="","",IF(ISNUMBER(SEARCH("tiktok",C196)),"TikTok",IF(OR(ISNUMBER(SEARCH("facebook",C196)),ISNUMBER(SEARCH("fb.watch",C196))),"Facebook",IF(OR(ISNUMBER(SEARCH("youtube",C196)),ISNUMBER(SEARCH("youtu.be",C196))),"YouTube",IF(ISNUMBER(SEARCH("instagram",C196)),"Instagram","Khác")))))</f>
        <v/>
      </c>
      <c r="E196" s="7" t="n"/>
      <c r="F196" s="7" t="n"/>
      <c r="G196" s="43" t="n"/>
      <c r="H196" s="7" t="n"/>
      <c r="I196" s="26" t="n"/>
      <c r="J196" s="7" t="n"/>
      <c r="K196" s="26" t="n"/>
      <c r="L196" s="7" t="n"/>
      <c r="M196" s="26" t="n"/>
    </row>
    <row r="197">
      <c r="A197" s="26" t="n"/>
      <c r="B197" s="42" t="n"/>
      <c r="C197" s="7" t="n"/>
      <c r="D197" s="23">
        <f>IF(C197="","",IF(ISNUMBER(SEARCH("tiktok",C197)),"TikTok",IF(OR(ISNUMBER(SEARCH("facebook",C197)),ISNUMBER(SEARCH("fb.watch",C197))),"Facebook",IF(OR(ISNUMBER(SEARCH("youtube",C197)),ISNUMBER(SEARCH("youtu.be",C197))),"YouTube",IF(ISNUMBER(SEARCH("instagram",C197)),"Instagram","Khác")))))</f>
        <v/>
      </c>
      <c r="E197" s="7" t="n"/>
      <c r="F197" s="7" t="n"/>
      <c r="G197" s="43" t="n"/>
      <c r="H197" s="7" t="n"/>
      <c r="I197" s="26" t="n"/>
      <c r="J197" s="7" t="n"/>
      <c r="K197" s="26" t="n"/>
      <c r="L197" s="7" t="n"/>
      <c r="M197" s="26" t="n"/>
    </row>
    <row r="198">
      <c r="A198" s="26" t="n"/>
      <c r="B198" s="42" t="n"/>
      <c r="C198" s="7" t="n"/>
      <c r="D198" s="23">
        <f>IF(C198="","",IF(ISNUMBER(SEARCH("tiktok",C198)),"TikTok",IF(OR(ISNUMBER(SEARCH("facebook",C198)),ISNUMBER(SEARCH("fb.watch",C198))),"Facebook",IF(OR(ISNUMBER(SEARCH("youtube",C198)),ISNUMBER(SEARCH("youtu.be",C198))),"YouTube",IF(ISNUMBER(SEARCH("instagram",C198)),"Instagram","Khác")))))</f>
        <v/>
      </c>
      <c r="E198" s="7" t="n"/>
      <c r="F198" s="7" t="n"/>
      <c r="G198" s="43" t="n"/>
      <c r="H198" s="7" t="n"/>
      <c r="I198" s="26" t="n"/>
      <c r="J198" s="7" t="n"/>
      <c r="K198" s="26" t="n"/>
      <c r="L198" s="7" t="n"/>
      <c r="M198" s="26" t="n"/>
    </row>
    <row r="199">
      <c r="A199" s="26" t="n"/>
      <c r="B199" s="42" t="n"/>
      <c r="C199" s="7" t="n"/>
      <c r="D199" s="23">
        <f>IF(C199="","",IF(ISNUMBER(SEARCH("tiktok",C199)),"TikTok",IF(OR(ISNUMBER(SEARCH("facebook",C199)),ISNUMBER(SEARCH("fb.watch",C199))),"Facebook",IF(OR(ISNUMBER(SEARCH("youtube",C199)),ISNUMBER(SEARCH("youtu.be",C199))),"YouTube",IF(ISNUMBER(SEARCH("instagram",C199)),"Instagram","Khác")))))</f>
        <v/>
      </c>
      <c r="E199" s="7" t="n"/>
      <c r="F199" s="7" t="n"/>
      <c r="G199" s="43" t="n"/>
      <c r="H199" s="7" t="n"/>
      <c r="I199" s="26" t="n"/>
      <c r="J199" s="7" t="n"/>
      <c r="K199" s="26" t="n"/>
      <c r="L199" s="7" t="n"/>
      <c r="M199" s="26" t="n"/>
    </row>
    <row r="200">
      <c r="A200" s="26" t="n"/>
      <c r="B200" s="42" t="n"/>
      <c r="C200" s="7" t="n"/>
      <c r="D200" s="23">
        <f>IF(C200="","",IF(ISNUMBER(SEARCH("tiktok",C200)),"TikTok",IF(OR(ISNUMBER(SEARCH("facebook",C200)),ISNUMBER(SEARCH("fb.watch",C200))),"Facebook",IF(OR(ISNUMBER(SEARCH("youtube",C200)),ISNUMBER(SEARCH("youtu.be",C200))),"YouTube",IF(ISNUMBER(SEARCH("instagram",C200)),"Instagram","Khác")))))</f>
        <v/>
      </c>
      <c r="E200" s="7" t="n"/>
      <c r="F200" s="7" t="n"/>
      <c r="G200" s="43" t="n"/>
      <c r="H200" s="7" t="n"/>
      <c r="I200" s="26" t="n"/>
      <c r="J200" s="7" t="n"/>
      <c r="K200" s="26" t="n"/>
      <c r="L200" s="7" t="n"/>
      <c r="M200" s="26" t="n"/>
    </row>
    <row r="201">
      <c r="A201" s="26" t="n"/>
      <c r="B201" s="42" t="n"/>
      <c r="C201" s="7" t="n"/>
      <c r="D201" s="23">
        <f>IF(C201="","",IF(ISNUMBER(SEARCH("tiktok",C201)),"TikTok",IF(OR(ISNUMBER(SEARCH("facebook",C201)),ISNUMBER(SEARCH("fb.watch",C201))),"Facebook",IF(OR(ISNUMBER(SEARCH("youtube",C201)),ISNUMBER(SEARCH("youtu.be",C201))),"YouTube",IF(ISNUMBER(SEARCH("instagram",C201)),"Instagram","Khác")))))</f>
        <v/>
      </c>
      <c r="E201" s="7" t="n"/>
      <c r="F201" s="7" t="n"/>
      <c r="G201" s="43" t="n"/>
      <c r="H201" s="7" t="n"/>
      <c r="I201" s="26" t="n"/>
      <c r="J201" s="7" t="n"/>
      <c r="K201" s="26" t="n"/>
      <c r="L201" s="7" t="n"/>
      <c r="M201" s="26" t="n"/>
    </row>
    <row r="202">
      <c r="A202" s="26" t="n"/>
      <c r="B202" s="42" t="n"/>
      <c r="C202" s="7" t="n"/>
      <c r="D202" s="23">
        <f>IF(C202="","",IF(ISNUMBER(SEARCH("tiktok",C202)),"TikTok",IF(OR(ISNUMBER(SEARCH("facebook",C202)),ISNUMBER(SEARCH("fb.watch",C202))),"Facebook",IF(OR(ISNUMBER(SEARCH("youtube",C202)),ISNUMBER(SEARCH("youtu.be",C202))),"YouTube",IF(ISNUMBER(SEARCH("instagram",C202)),"Instagram","Khác")))))</f>
        <v/>
      </c>
      <c r="E202" s="7" t="n"/>
      <c r="F202" s="7" t="n"/>
      <c r="G202" s="43" t="n"/>
      <c r="H202" s="7" t="n"/>
      <c r="I202" s="26" t="n"/>
      <c r="J202" s="7" t="n"/>
      <c r="K202" s="26" t="n"/>
      <c r="L202" s="7" t="n"/>
      <c r="M202" s="26" t="n"/>
    </row>
    <row r="203">
      <c r="A203" s="26" t="n"/>
      <c r="B203" s="42" t="n"/>
      <c r="C203" s="7" t="n"/>
      <c r="D203" s="23">
        <f>IF(C203="","",IF(ISNUMBER(SEARCH("tiktok",C203)),"TikTok",IF(OR(ISNUMBER(SEARCH("facebook",C203)),ISNUMBER(SEARCH("fb.watch",C203))),"Facebook",IF(OR(ISNUMBER(SEARCH("youtube",C203)),ISNUMBER(SEARCH("youtu.be",C203))),"YouTube",IF(ISNUMBER(SEARCH("instagram",C203)),"Instagram","Khác")))))</f>
        <v/>
      </c>
      <c r="E203" s="7" t="n"/>
      <c r="F203" s="7" t="n"/>
      <c r="G203" s="43" t="n"/>
      <c r="H203" s="7" t="n"/>
      <c r="I203" s="26" t="n"/>
      <c r="J203" s="7" t="n"/>
      <c r="K203" s="26" t="n"/>
      <c r="L203" s="7" t="n"/>
      <c r="M203" s="26" t="n"/>
    </row>
    <row r="204">
      <c r="A204" s="26" t="n"/>
      <c r="B204" s="42" t="n"/>
      <c r="C204" s="7" t="n"/>
      <c r="D204" s="23">
        <f>IF(C204="","",IF(ISNUMBER(SEARCH("tiktok",C204)),"TikTok",IF(OR(ISNUMBER(SEARCH("facebook",C204)),ISNUMBER(SEARCH("fb.watch",C204))),"Facebook",IF(OR(ISNUMBER(SEARCH("youtube",C204)),ISNUMBER(SEARCH("youtu.be",C204))),"YouTube",IF(ISNUMBER(SEARCH("instagram",C204)),"Instagram","Khác")))))</f>
        <v/>
      </c>
      <c r="E204" s="7" t="n"/>
      <c r="F204" s="7" t="n"/>
      <c r="G204" s="43" t="n"/>
      <c r="H204" s="7" t="n"/>
      <c r="I204" s="26" t="n"/>
      <c r="J204" s="7" t="n"/>
      <c r="K204" s="26" t="n"/>
      <c r="L204" s="7" t="n"/>
      <c r="M204" s="26" t="n"/>
    </row>
    <row r="205">
      <c r="A205" s="26" t="n"/>
      <c r="B205" s="42" t="n"/>
      <c r="C205" s="7" t="n"/>
      <c r="D205" s="23">
        <f>IF(C205="","",IF(ISNUMBER(SEARCH("tiktok",C205)),"TikTok",IF(OR(ISNUMBER(SEARCH("facebook",C205)),ISNUMBER(SEARCH("fb.watch",C205))),"Facebook",IF(OR(ISNUMBER(SEARCH("youtube",C205)),ISNUMBER(SEARCH("youtu.be",C205))),"YouTube",IF(ISNUMBER(SEARCH("instagram",C205)),"Instagram","Khác")))))</f>
        <v/>
      </c>
      <c r="E205" s="7" t="n"/>
      <c r="F205" s="7" t="n"/>
      <c r="G205" s="43" t="n"/>
      <c r="H205" s="7" t="n"/>
      <c r="I205" s="26" t="n"/>
      <c r="J205" s="7" t="n"/>
      <c r="K205" s="26" t="n"/>
      <c r="L205" s="7" t="n"/>
      <c r="M205" s="26" t="n"/>
    </row>
    <row r="206">
      <c r="A206" s="26" t="n"/>
      <c r="B206" s="42" t="n"/>
      <c r="C206" s="7" t="n"/>
      <c r="D206" s="23">
        <f>IF(C206="","",IF(ISNUMBER(SEARCH("tiktok",C206)),"TikTok",IF(OR(ISNUMBER(SEARCH("facebook",C206)),ISNUMBER(SEARCH("fb.watch",C206))),"Facebook",IF(OR(ISNUMBER(SEARCH("youtube",C206)),ISNUMBER(SEARCH("youtu.be",C206))),"YouTube",IF(ISNUMBER(SEARCH("instagram",C206)),"Instagram","Khác")))))</f>
        <v/>
      </c>
      <c r="E206" s="7" t="n"/>
      <c r="F206" s="7" t="n"/>
      <c r="G206" s="43" t="n"/>
      <c r="H206" s="7" t="n"/>
      <c r="I206" s="26" t="n"/>
      <c r="J206" s="7" t="n"/>
      <c r="K206" s="26" t="n"/>
      <c r="L206" s="7" t="n"/>
      <c r="M206" s="26" t="n"/>
    </row>
    <row r="207">
      <c r="A207" s="26" t="n"/>
      <c r="B207" s="42" t="n"/>
      <c r="C207" s="7" t="n"/>
      <c r="D207" s="23">
        <f>IF(C207="","",IF(ISNUMBER(SEARCH("tiktok",C207)),"TikTok",IF(OR(ISNUMBER(SEARCH("facebook",C207)),ISNUMBER(SEARCH("fb.watch",C207))),"Facebook",IF(OR(ISNUMBER(SEARCH("youtube",C207)),ISNUMBER(SEARCH("youtu.be",C207))),"YouTube",IF(ISNUMBER(SEARCH("instagram",C207)),"Instagram","Khác")))))</f>
        <v/>
      </c>
      <c r="E207" s="7" t="n"/>
      <c r="F207" s="7" t="n"/>
      <c r="G207" s="43" t="n"/>
      <c r="H207" s="7" t="n"/>
      <c r="I207" s="26" t="n"/>
      <c r="J207" s="7" t="n"/>
      <c r="K207" s="26" t="n"/>
      <c r="L207" s="7" t="n"/>
      <c r="M207" s="26" t="n"/>
    </row>
    <row r="208">
      <c r="A208" s="26" t="n"/>
      <c r="B208" s="42" t="n"/>
      <c r="C208" s="7" t="n"/>
      <c r="D208" s="23">
        <f>IF(C208="","",IF(ISNUMBER(SEARCH("tiktok",C208)),"TikTok",IF(OR(ISNUMBER(SEARCH("facebook",C208)),ISNUMBER(SEARCH("fb.watch",C208))),"Facebook",IF(OR(ISNUMBER(SEARCH("youtube",C208)),ISNUMBER(SEARCH("youtu.be",C208))),"YouTube",IF(ISNUMBER(SEARCH("instagram",C208)),"Instagram","Khác")))))</f>
        <v/>
      </c>
      <c r="E208" s="7" t="n"/>
      <c r="F208" s="7" t="n"/>
      <c r="G208" s="43" t="n"/>
      <c r="H208" s="7" t="n"/>
      <c r="I208" s="26" t="n"/>
      <c r="J208" s="7" t="n"/>
      <c r="K208" s="26" t="n"/>
      <c r="L208" s="7" t="n"/>
      <c r="M208" s="26" t="n"/>
    </row>
    <row r="209">
      <c r="A209" s="26" t="n"/>
      <c r="B209" s="42" t="n"/>
      <c r="C209" s="7" t="n"/>
      <c r="D209" s="23">
        <f>IF(C209="","",IF(ISNUMBER(SEARCH("tiktok",C209)),"TikTok",IF(OR(ISNUMBER(SEARCH("facebook",C209)),ISNUMBER(SEARCH("fb.watch",C209))),"Facebook",IF(OR(ISNUMBER(SEARCH("youtube",C209)),ISNUMBER(SEARCH("youtu.be",C209))),"YouTube",IF(ISNUMBER(SEARCH("instagram",C209)),"Instagram","Khác")))))</f>
        <v/>
      </c>
      <c r="E209" s="7" t="n"/>
      <c r="F209" s="7" t="n"/>
      <c r="G209" s="43" t="n"/>
      <c r="H209" s="7" t="n"/>
      <c r="I209" s="26" t="n"/>
      <c r="J209" s="7" t="n"/>
      <c r="K209" s="26" t="n"/>
      <c r="L209" s="7" t="n"/>
      <c r="M209" s="26" t="n"/>
    </row>
    <row r="210">
      <c r="A210" s="26" t="n"/>
      <c r="B210" s="42" t="n"/>
      <c r="C210" s="7" t="n"/>
      <c r="D210" s="23">
        <f>IF(C210="","",IF(ISNUMBER(SEARCH("tiktok",C210)),"TikTok",IF(OR(ISNUMBER(SEARCH("facebook",C210)),ISNUMBER(SEARCH("fb.watch",C210))),"Facebook",IF(OR(ISNUMBER(SEARCH("youtube",C210)),ISNUMBER(SEARCH("youtu.be",C210))),"YouTube",IF(ISNUMBER(SEARCH("instagram",C210)),"Instagram","Khác")))))</f>
        <v/>
      </c>
      <c r="E210" s="7" t="n"/>
      <c r="F210" s="7" t="n"/>
      <c r="G210" s="43" t="n"/>
      <c r="H210" s="7" t="n"/>
      <c r="I210" s="26" t="n"/>
      <c r="J210" s="7" t="n"/>
      <c r="K210" s="26" t="n"/>
      <c r="L210" s="7" t="n"/>
      <c r="M210" s="26" t="n"/>
    </row>
    <row r="211">
      <c r="A211" s="26" t="n"/>
      <c r="B211" s="42" t="n"/>
      <c r="C211" s="7" t="n"/>
      <c r="D211" s="23">
        <f>IF(C211="","",IF(ISNUMBER(SEARCH("tiktok",C211)),"TikTok",IF(OR(ISNUMBER(SEARCH("facebook",C211)),ISNUMBER(SEARCH("fb.watch",C211))),"Facebook",IF(OR(ISNUMBER(SEARCH("youtube",C211)),ISNUMBER(SEARCH("youtu.be",C211))),"YouTube",IF(ISNUMBER(SEARCH("instagram",C211)),"Instagram","Khác")))))</f>
        <v/>
      </c>
      <c r="E211" s="7" t="n"/>
      <c r="F211" s="7" t="n"/>
      <c r="G211" s="43" t="n"/>
      <c r="H211" s="7" t="n"/>
      <c r="I211" s="26" t="n"/>
      <c r="J211" s="7" t="n"/>
      <c r="K211" s="26" t="n"/>
      <c r="L211" s="7" t="n"/>
      <c r="M211" s="26" t="n"/>
    </row>
    <row r="212">
      <c r="A212" s="26" t="n"/>
      <c r="B212" s="42" t="n"/>
      <c r="C212" s="7" t="n"/>
      <c r="D212" s="23">
        <f>IF(C212="","",IF(ISNUMBER(SEARCH("tiktok",C212)),"TikTok",IF(OR(ISNUMBER(SEARCH("facebook",C212)),ISNUMBER(SEARCH("fb.watch",C212))),"Facebook",IF(OR(ISNUMBER(SEARCH("youtube",C212)),ISNUMBER(SEARCH("youtu.be",C212))),"YouTube",IF(ISNUMBER(SEARCH("instagram",C212)),"Instagram","Khác")))))</f>
        <v/>
      </c>
      <c r="E212" s="7" t="n"/>
      <c r="F212" s="7" t="n"/>
      <c r="G212" s="43" t="n"/>
      <c r="H212" s="7" t="n"/>
      <c r="I212" s="26" t="n"/>
      <c r="J212" s="7" t="n"/>
      <c r="K212" s="26" t="n"/>
      <c r="L212" s="7" t="n"/>
      <c r="M212" s="26" t="n"/>
    </row>
    <row r="213">
      <c r="A213" s="26" t="n"/>
      <c r="B213" s="42" t="n"/>
      <c r="C213" s="7" t="n"/>
      <c r="D213" s="23">
        <f>IF(C213="","",IF(ISNUMBER(SEARCH("tiktok",C213)),"TikTok",IF(OR(ISNUMBER(SEARCH("facebook",C213)),ISNUMBER(SEARCH("fb.watch",C213))),"Facebook",IF(OR(ISNUMBER(SEARCH("youtube",C213)),ISNUMBER(SEARCH("youtu.be",C213))),"YouTube",IF(ISNUMBER(SEARCH("instagram",C213)),"Instagram","Khác")))))</f>
        <v/>
      </c>
      <c r="E213" s="7" t="n"/>
      <c r="F213" s="7" t="n"/>
      <c r="G213" s="43" t="n"/>
      <c r="H213" s="7" t="n"/>
      <c r="I213" s="26" t="n"/>
      <c r="J213" s="7" t="n"/>
      <c r="K213" s="26" t="n"/>
      <c r="L213" s="7" t="n"/>
      <c r="M213" s="26" t="n"/>
    </row>
    <row r="214">
      <c r="A214" s="26" t="n"/>
      <c r="B214" s="42" t="n"/>
      <c r="C214" s="7" t="n"/>
      <c r="D214" s="23">
        <f>IF(C214="","",IF(ISNUMBER(SEARCH("tiktok",C214)),"TikTok",IF(OR(ISNUMBER(SEARCH("facebook",C214)),ISNUMBER(SEARCH("fb.watch",C214))),"Facebook",IF(OR(ISNUMBER(SEARCH("youtube",C214)),ISNUMBER(SEARCH("youtu.be",C214))),"YouTube",IF(ISNUMBER(SEARCH("instagram",C214)),"Instagram","Khác")))))</f>
        <v/>
      </c>
      <c r="E214" s="7" t="n"/>
      <c r="F214" s="7" t="n"/>
      <c r="G214" s="43" t="n"/>
      <c r="H214" s="7" t="n"/>
      <c r="I214" s="26" t="n"/>
      <c r="J214" s="7" t="n"/>
      <c r="K214" s="26" t="n"/>
      <c r="L214" s="7" t="n"/>
      <c r="M214" s="26" t="n"/>
    </row>
    <row r="215">
      <c r="A215" s="26" t="n"/>
      <c r="B215" s="42" t="n"/>
      <c r="C215" s="7" t="n"/>
      <c r="D215" s="23">
        <f>IF(C215="","",IF(ISNUMBER(SEARCH("tiktok",C215)),"TikTok",IF(OR(ISNUMBER(SEARCH("facebook",C215)),ISNUMBER(SEARCH("fb.watch",C215))),"Facebook",IF(OR(ISNUMBER(SEARCH("youtube",C215)),ISNUMBER(SEARCH("youtu.be",C215))),"YouTube",IF(ISNUMBER(SEARCH("instagram",C215)),"Instagram","Khác")))))</f>
        <v/>
      </c>
      <c r="E215" s="7" t="n"/>
      <c r="F215" s="7" t="n"/>
      <c r="G215" s="43" t="n"/>
      <c r="H215" s="7" t="n"/>
      <c r="I215" s="26" t="n"/>
      <c r="J215" s="7" t="n"/>
      <c r="K215" s="26" t="n"/>
      <c r="L215" s="7" t="n"/>
      <c r="M215" s="26" t="n"/>
    </row>
    <row r="216">
      <c r="A216" s="26" t="n"/>
      <c r="B216" s="42" t="n"/>
      <c r="C216" s="7" t="n"/>
      <c r="D216" s="23">
        <f>IF(C216="","",IF(ISNUMBER(SEARCH("tiktok",C216)),"TikTok",IF(OR(ISNUMBER(SEARCH("facebook",C216)),ISNUMBER(SEARCH("fb.watch",C216))),"Facebook",IF(OR(ISNUMBER(SEARCH("youtube",C216)),ISNUMBER(SEARCH("youtu.be",C216))),"YouTube",IF(ISNUMBER(SEARCH("instagram",C216)),"Instagram","Khác")))))</f>
        <v/>
      </c>
      <c r="E216" s="7" t="n"/>
      <c r="F216" s="7" t="n"/>
      <c r="G216" s="43" t="n"/>
      <c r="H216" s="7" t="n"/>
      <c r="I216" s="26" t="n"/>
      <c r="J216" s="7" t="n"/>
      <c r="K216" s="26" t="n"/>
      <c r="L216" s="7" t="n"/>
      <c r="M216" s="26" t="n"/>
    </row>
    <row r="217">
      <c r="A217" s="26" t="n"/>
      <c r="B217" s="42" t="n"/>
      <c r="C217" s="7" t="n"/>
      <c r="D217" s="23">
        <f>IF(C217="","",IF(ISNUMBER(SEARCH("tiktok",C217)),"TikTok",IF(OR(ISNUMBER(SEARCH("facebook",C217)),ISNUMBER(SEARCH("fb.watch",C217))),"Facebook",IF(OR(ISNUMBER(SEARCH("youtube",C217)),ISNUMBER(SEARCH("youtu.be",C217))),"YouTube",IF(ISNUMBER(SEARCH("instagram",C217)),"Instagram","Khác")))))</f>
        <v/>
      </c>
      <c r="E217" s="7" t="n"/>
      <c r="F217" s="7" t="n"/>
      <c r="G217" s="43" t="n"/>
      <c r="H217" s="7" t="n"/>
      <c r="I217" s="26" t="n"/>
      <c r="J217" s="7" t="n"/>
      <c r="K217" s="26" t="n"/>
      <c r="L217" s="7" t="n"/>
      <c r="M217" s="26" t="n"/>
    </row>
    <row r="218">
      <c r="A218" s="26" t="n"/>
      <c r="B218" s="42" t="n"/>
      <c r="C218" s="7" t="n"/>
      <c r="D218" s="23">
        <f>IF(C218="","",IF(ISNUMBER(SEARCH("tiktok",C218)),"TikTok",IF(OR(ISNUMBER(SEARCH("facebook",C218)),ISNUMBER(SEARCH("fb.watch",C218))),"Facebook",IF(OR(ISNUMBER(SEARCH("youtube",C218)),ISNUMBER(SEARCH("youtu.be",C218))),"YouTube",IF(ISNUMBER(SEARCH("instagram",C218)),"Instagram","Khác")))))</f>
        <v/>
      </c>
      <c r="E218" s="7" t="n"/>
      <c r="F218" s="7" t="n"/>
      <c r="G218" s="43" t="n"/>
      <c r="H218" s="7" t="n"/>
      <c r="I218" s="26" t="n"/>
      <c r="J218" s="7" t="n"/>
      <c r="K218" s="26" t="n"/>
      <c r="L218" s="7" t="n"/>
      <c r="M218" s="26" t="n"/>
    </row>
    <row r="219">
      <c r="A219" s="26" t="n"/>
      <c r="B219" s="42" t="n"/>
      <c r="C219" s="7" t="n"/>
      <c r="D219" s="23">
        <f>IF(C219="","",IF(ISNUMBER(SEARCH("tiktok",C219)),"TikTok",IF(OR(ISNUMBER(SEARCH("facebook",C219)),ISNUMBER(SEARCH("fb.watch",C219))),"Facebook",IF(OR(ISNUMBER(SEARCH("youtube",C219)),ISNUMBER(SEARCH("youtu.be",C219))),"YouTube",IF(ISNUMBER(SEARCH("instagram",C219)),"Instagram","Khác")))))</f>
        <v/>
      </c>
      <c r="E219" s="7" t="n"/>
      <c r="F219" s="7" t="n"/>
      <c r="G219" s="43" t="n"/>
      <c r="H219" s="7" t="n"/>
      <c r="I219" s="26" t="n"/>
      <c r="J219" s="7" t="n"/>
      <c r="K219" s="26" t="n"/>
      <c r="L219" s="7" t="n"/>
      <c r="M219" s="26" t="n"/>
    </row>
    <row r="220">
      <c r="A220" s="26" t="n"/>
      <c r="B220" s="42" t="n"/>
      <c r="C220" s="7" t="n"/>
      <c r="D220" s="23">
        <f>IF(C220="","",IF(ISNUMBER(SEARCH("tiktok",C220)),"TikTok",IF(OR(ISNUMBER(SEARCH("facebook",C220)),ISNUMBER(SEARCH("fb.watch",C220))),"Facebook",IF(OR(ISNUMBER(SEARCH("youtube",C220)),ISNUMBER(SEARCH("youtu.be",C220))),"YouTube",IF(ISNUMBER(SEARCH("instagram",C220)),"Instagram","Khác")))))</f>
        <v/>
      </c>
      <c r="E220" s="7" t="n"/>
      <c r="F220" s="7" t="n"/>
      <c r="G220" s="43" t="n"/>
      <c r="H220" s="7" t="n"/>
      <c r="I220" s="26" t="n"/>
      <c r="J220" s="7" t="n"/>
      <c r="K220" s="26" t="n"/>
      <c r="L220" s="7" t="n"/>
      <c r="M220" s="26" t="n"/>
    </row>
    <row r="221">
      <c r="A221" s="26" t="n"/>
      <c r="B221" s="42" t="n"/>
      <c r="C221" s="7" t="n"/>
      <c r="D221" s="23">
        <f>IF(C221="","",IF(ISNUMBER(SEARCH("tiktok",C221)),"TikTok",IF(OR(ISNUMBER(SEARCH("facebook",C221)),ISNUMBER(SEARCH("fb.watch",C221))),"Facebook",IF(OR(ISNUMBER(SEARCH("youtube",C221)),ISNUMBER(SEARCH("youtu.be",C221))),"YouTube",IF(ISNUMBER(SEARCH("instagram",C221)),"Instagram","Khác")))))</f>
        <v/>
      </c>
      <c r="E221" s="7" t="n"/>
      <c r="F221" s="7" t="n"/>
      <c r="G221" s="43" t="n"/>
      <c r="H221" s="7" t="n"/>
      <c r="I221" s="26" t="n"/>
      <c r="J221" s="7" t="n"/>
      <c r="K221" s="26" t="n"/>
      <c r="L221" s="7" t="n"/>
      <c r="M221" s="26" t="n"/>
    </row>
    <row r="222">
      <c r="A222" s="26" t="n"/>
      <c r="B222" s="42" t="n"/>
      <c r="C222" s="7" t="n"/>
      <c r="D222" s="23">
        <f>IF(C222="","",IF(ISNUMBER(SEARCH("tiktok",C222)),"TikTok",IF(OR(ISNUMBER(SEARCH("facebook",C222)),ISNUMBER(SEARCH("fb.watch",C222))),"Facebook",IF(OR(ISNUMBER(SEARCH("youtube",C222)),ISNUMBER(SEARCH("youtu.be",C222))),"YouTube",IF(ISNUMBER(SEARCH("instagram",C222)),"Instagram","Khác")))))</f>
        <v/>
      </c>
      <c r="E222" s="7" t="n"/>
      <c r="F222" s="7" t="n"/>
      <c r="G222" s="43" t="n"/>
      <c r="H222" s="7" t="n"/>
      <c r="I222" s="26" t="n"/>
      <c r="J222" s="7" t="n"/>
      <c r="K222" s="26" t="n"/>
      <c r="L222" s="7" t="n"/>
      <c r="M222" s="26" t="n"/>
    </row>
    <row r="223">
      <c r="A223" s="26" t="n"/>
      <c r="B223" s="42" t="n"/>
      <c r="C223" s="7" t="n"/>
      <c r="D223" s="23">
        <f>IF(C223="","",IF(ISNUMBER(SEARCH("tiktok",C223)),"TikTok",IF(OR(ISNUMBER(SEARCH("facebook",C223)),ISNUMBER(SEARCH("fb.watch",C223))),"Facebook",IF(OR(ISNUMBER(SEARCH("youtube",C223)),ISNUMBER(SEARCH("youtu.be",C223))),"YouTube",IF(ISNUMBER(SEARCH("instagram",C223)),"Instagram","Khác")))))</f>
        <v/>
      </c>
      <c r="E223" s="7" t="n"/>
      <c r="F223" s="7" t="n"/>
      <c r="G223" s="43" t="n"/>
      <c r="H223" s="7" t="n"/>
      <c r="I223" s="26" t="n"/>
      <c r="J223" s="7" t="n"/>
      <c r="K223" s="26" t="n"/>
      <c r="L223" s="7" t="n"/>
      <c r="M223" s="26" t="n"/>
    </row>
    <row r="224">
      <c r="A224" s="26" t="n"/>
      <c r="B224" s="42" t="n"/>
      <c r="C224" s="7" t="n"/>
      <c r="D224" s="23">
        <f>IF(C224="","",IF(ISNUMBER(SEARCH("tiktok",C224)),"TikTok",IF(OR(ISNUMBER(SEARCH("facebook",C224)),ISNUMBER(SEARCH("fb.watch",C224))),"Facebook",IF(OR(ISNUMBER(SEARCH("youtube",C224)),ISNUMBER(SEARCH("youtu.be",C224))),"YouTube",IF(ISNUMBER(SEARCH("instagram",C224)),"Instagram","Khác")))))</f>
        <v/>
      </c>
      <c r="E224" s="7" t="n"/>
      <c r="F224" s="7" t="n"/>
      <c r="G224" s="43" t="n"/>
      <c r="H224" s="7" t="n"/>
      <c r="I224" s="26" t="n"/>
      <c r="J224" s="7" t="n"/>
      <c r="K224" s="26" t="n"/>
      <c r="L224" s="7" t="n"/>
      <c r="M224" s="26" t="n"/>
    </row>
    <row r="225">
      <c r="A225" s="26" t="n"/>
      <c r="B225" s="42" t="n"/>
      <c r="C225" s="7" t="n"/>
      <c r="D225" s="23">
        <f>IF(C225="","",IF(ISNUMBER(SEARCH("tiktok",C225)),"TikTok",IF(OR(ISNUMBER(SEARCH("facebook",C225)),ISNUMBER(SEARCH("fb.watch",C225))),"Facebook",IF(OR(ISNUMBER(SEARCH("youtube",C225)),ISNUMBER(SEARCH("youtu.be",C225))),"YouTube",IF(ISNUMBER(SEARCH("instagram",C225)),"Instagram","Khác")))))</f>
        <v/>
      </c>
      <c r="E225" s="7" t="n"/>
      <c r="F225" s="7" t="n"/>
      <c r="G225" s="43" t="n"/>
      <c r="H225" s="7" t="n"/>
      <c r="I225" s="26" t="n"/>
      <c r="J225" s="7" t="n"/>
      <c r="K225" s="26" t="n"/>
      <c r="L225" s="7" t="n"/>
      <c r="M225" s="26" t="n"/>
    </row>
    <row r="226">
      <c r="A226" s="26" t="n"/>
      <c r="B226" s="42" t="n"/>
      <c r="C226" s="7" t="n"/>
      <c r="D226" s="23">
        <f>IF(C226="","",IF(ISNUMBER(SEARCH("tiktok",C226)),"TikTok",IF(OR(ISNUMBER(SEARCH("facebook",C226)),ISNUMBER(SEARCH("fb.watch",C226))),"Facebook",IF(OR(ISNUMBER(SEARCH("youtube",C226)),ISNUMBER(SEARCH("youtu.be",C226))),"YouTube",IF(ISNUMBER(SEARCH("instagram",C226)),"Instagram","Khác")))))</f>
        <v/>
      </c>
      <c r="E226" s="7" t="n"/>
      <c r="F226" s="7" t="n"/>
      <c r="G226" s="43" t="n"/>
      <c r="H226" s="7" t="n"/>
      <c r="I226" s="26" t="n"/>
      <c r="J226" s="7" t="n"/>
      <c r="K226" s="26" t="n"/>
      <c r="L226" s="7" t="n"/>
      <c r="M226" s="26" t="n"/>
    </row>
    <row r="227">
      <c r="A227" s="26" t="n"/>
      <c r="B227" s="42" t="n"/>
      <c r="C227" s="7" t="n"/>
      <c r="D227" s="23">
        <f>IF(C227="","",IF(ISNUMBER(SEARCH("tiktok",C227)),"TikTok",IF(OR(ISNUMBER(SEARCH("facebook",C227)),ISNUMBER(SEARCH("fb.watch",C227))),"Facebook",IF(OR(ISNUMBER(SEARCH("youtube",C227)),ISNUMBER(SEARCH("youtu.be",C227))),"YouTube",IF(ISNUMBER(SEARCH("instagram",C227)),"Instagram","Khác")))))</f>
        <v/>
      </c>
      <c r="E227" s="7" t="n"/>
      <c r="F227" s="7" t="n"/>
      <c r="G227" s="43" t="n"/>
      <c r="H227" s="7" t="n"/>
      <c r="I227" s="26" t="n"/>
      <c r="J227" s="7" t="n"/>
      <c r="K227" s="26" t="n"/>
      <c r="L227" s="7" t="n"/>
      <c r="M227" s="26" t="n"/>
    </row>
    <row r="228">
      <c r="A228" s="26" t="n"/>
      <c r="B228" s="42" t="n"/>
      <c r="C228" s="7" t="n"/>
      <c r="D228" s="23">
        <f>IF(C228="","",IF(ISNUMBER(SEARCH("tiktok",C228)),"TikTok",IF(OR(ISNUMBER(SEARCH("facebook",C228)),ISNUMBER(SEARCH("fb.watch",C228))),"Facebook",IF(OR(ISNUMBER(SEARCH("youtube",C228)),ISNUMBER(SEARCH("youtu.be",C228))),"YouTube",IF(ISNUMBER(SEARCH("instagram",C228)),"Instagram","Khác")))))</f>
        <v/>
      </c>
      <c r="E228" s="7" t="n"/>
      <c r="F228" s="7" t="n"/>
      <c r="G228" s="43" t="n"/>
      <c r="H228" s="7" t="n"/>
      <c r="I228" s="26" t="n"/>
      <c r="J228" s="7" t="n"/>
      <c r="K228" s="26" t="n"/>
      <c r="L228" s="7" t="n"/>
      <c r="M228" s="26" t="n"/>
    </row>
    <row r="229">
      <c r="A229" s="26" t="n"/>
      <c r="B229" s="42" t="n"/>
      <c r="C229" s="7" t="n"/>
      <c r="D229" s="23">
        <f>IF(C229="","",IF(ISNUMBER(SEARCH("tiktok",C229)),"TikTok",IF(OR(ISNUMBER(SEARCH("facebook",C229)),ISNUMBER(SEARCH("fb.watch",C229))),"Facebook",IF(OR(ISNUMBER(SEARCH("youtube",C229)),ISNUMBER(SEARCH("youtu.be",C229))),"YouTube",IF(ISNUMBER(SEARCH("instagram",C229)),"Instagram","Khác")))))</f>
        <v/>
      </c>
      <c r="E229" s="7" t="n"/>
      <c r="F229" s="7" t="n"/>
      <c r="G229" s="43" t="n"/>
      <c r="H229" s="7" t="n"/>
      <c r="I229" s="26" t="n"/>
      <c r="J229" s="7" t="n"/>
      <c r="K229" s="26" t="n"/>
      <c r="L229" s="7" t="n"/>
      <c r="M229" s="26" t="n"/>
    </row>
    <row r="230">
      <c r="A230" s="26" t="n"/>
      <c r="B230" s="42" t="n"/>
      <c r="C230" s="7" t="n"/>
      <c r="D230" s="23">
        <f>IF(C230="","",IF(ISNUMBER(SEARCH("tiktok",C230)),"TikTok",IF(OR(ISNUMBER(SEARCH("facebook",C230)),ISNUMBER(SEARCH("fb.watch",C230))),"Facebook",IF(OR(ISNUMBER(SEARCH("youtube",C230)),ISNUMBER(SEARCH("youtu.be",C230))),"YouTube",IF(ISNUMBER(SEARCH("instagram",C230)),"Instagram","Khác")))))</f>
        <v/>
      </c>
      <c r="E230" s="7" t="n"/>
      <c r="F230" s="7" t="n"/>
      <c r="G230" s="43" t="n"/>
      <c r="H230" s="7" t="n"/>
      <c r="I230" s="26" t="n"/>
      <c r="J230" s="7" t="n"/>
      <c r="K230" s="26" t="n"/>
      <c r="L230" s="7" t="n"/>
      <c r="M230" s="26" t="n"/>
    </row>
    <row r="231">
      <c r="A231" s="26" t="n"/>
      <c r="B231" s="42" t="n"/>
      <c r="C231" s="7" t="n"/>
      <c r="D231" s="23">
        <f>IF(C231="","",IF(ISNUMBER(SEARCH("tiktok",C231)),"TikTok",IF(OR(ISNUMBER(SEARCH("facebook",C231)),ISNUMBER(SEARCH("fb.watch",C231))),"Facebook",IF(OR(ISNUMBER(SEARCH("youtube",C231)),ISNUMBER(SEARCH("youtu.be",C231))),"YouTube",IF(ISNUMBER(SEARCH("instagram",C231)),"Instagram","Khác")))))</f>
        <v/>
      </c>
      <c r="E231" s="7" t="n"/>
      <c r="F231" s="7" t="n"/>
      <c r="G231" s="43" t="n"/>
      <c r="H231" s="7" t="n"/>
      <c r="I231" s="26" t="n"/>
      <c r="J231" s="7" t="n"/>
      <c r="K231" s="26" t="n"/>
      <c r="L231" s="7" t="n"/>
      <c r="M231" s="26" t="n"/>
    </row>
    <row r="232">
      <c r="A232" s="26" t="n"/>
      <c r="B232" s="42" t="n"/>
      <c r="C232" s="7" t="n"/>
      <c r="D232" s="23">
        <f>IF(C232="","",IF(ISNUMBER(SEARCH("tiktok",C232)),"TikTok",IF(OR(ISNUMBER(SEARCH("facebook",C232)),ISNUMBER(SEARCH("fb.watch",C232))),"Facebook",IF(OR(ISNUMBER(SEARCH("youtube",C232)),ISNUMBER(SEARCH("youtu.be",C232))),"YouTube",IF(ISNUMBER(SEARCH("instagram",C232)),"Instagram","Khác")))))</f>
        <v/>
      </c>
      <c r="E232" s="7" t="n"/>
      <c r="F232" s="7" t="n"/>
      <c r="G232" s="43" t="n"/>
      <c r="H232" s="7" t="n"/>
      <c r="I232" s="26" t="n"/>
      <c r="J232" s="7" t="n"/>
      <c r="K232" s="26" t="n"/>
      <c r="L232" s="7" t="n"/>
      <c r="M232" s="26" t="n"/>
    </row>
    <row r="233">
      <c r="A233" s="26" t="n"/>
      <c r="B233" s="42" t="n"/>
      <c r="C233" s="7" t="n"/>
      <c r="D233" s="23">
        <f>IF(C233="","",IF(ISNUMBER(SEARCH("tiktok",C233)),"TikTok",IF(OR(ISNUMBER(SEARCH("facebook",C233)),ISNUMBER(SEARCH("fb.watch",C233))),"Facebook",IF(OR(ISNUMBER(SEARCH("youtube",C233)),ISNUMBER(SEARCH("youtu.be",C233))),"YouTube",IF(ISNUMBER(SEARCH("instagram",C233)),"Instagram","Khác")))))</f>
        <v/>
      </c>
      <c r="E233" s="7" t="n"/>
      <c r="F233" s="7" t="n"/>
      <c r="G233" s="43" t="n"/>
      <c r="H233" s="7" t="n"/>
      <c r="I233" s="26" t="n"/>
      <c r="J233" s="7" t="n"/>
      <c r="K233" s="26" t="n"/>
      <c r="L233" s="7" t="n"/>
      <c r="M233" s="26" t="n"/>
    </row>
    <row r="234">
      <c r="A234" s="26" t="n"/>
      <c r="B234" s="42" t="n"/>
      <c r="C234" s="7" t="n"/>
      <c r="D234" s="23">
        <f>IF(C234="","",IF(ISNUMBER(SEARCH("tiktok",C234)),"TikTok",IF(OR(ISNUMBER(SEARCH("facebook",C234)),ISNUMBER(SEARCH("fb.watch",C234))),"Facebook",IF(OR(ISNUMBER(SEARCH("youtube",C234)),ISNUMBER(SEARCH("youtu.be",C234))),"YouTube",IF(ISNUMBER(SEARCH("instagram",C234)),"Instagram","Khác")))))</f>
        <v/>
      </c>
      <c r="E234" s="7" t="n"/>
      <c r="F234" s="7" t="n"/>
      <c r="G234" s="43" t="n"/>
      <c r="H234" s="7" t="n"/>
      <c r="I234" s="26" t="n"/>
      <c r="J234" s="7" t="n"/>
      <c r="K234" s="26" t="n"/>
      <c r="L234" s="7" t="n"/>
      <c r="M234" s="26" t="n"/>
    </row>
    <row r="235">
      <c r="A235" s="26" t="n"/>
      <c r="B235" s="42" t="n"/>
      <c r="C235" s="7" t="n"/>
      <c r="D235" s="23">
        <f>IF(C235="","",IF(ISNUMBER(SEARCH("tiktok",C235)),"TikTok",IF(OR(ISNUMBER(SEARCH("facebook",C235)),ISNUMBER(SEARCH("fb.watch",C235))),"Facebook",IF(OR(ISNUMBER(SEARCH("youtube",C235)),ISNUMBER(SEARCH("youtu.be",C235))),"YouTube",IF(ISNUMBER(SEARCH("instagram",C235)),"Instagram","Khác")))))</f>
        <v/>
      </c>
      <c r="E235" s="7" t="n"/>
      <c r="F235" s="7" t="n"/>
      <c r="G235" s="43" t="n"/>
      <c r="H235" s="7" t="n"/>
      <c r="I235" s="26" t="n"/>
      <c r="J235" s="7" t="n"/>
      <c r="K235" s="26" t="n"/>
      <c r="L235" s="7" t="n"/>
      <c r="M235" s="26" t="n"/>
    </row>
    <row r="236">
      <c r="A236" s="26" t="n"/>
      <c r="B236" s="42" t="n"/>
      <c r="C236" s="7" t="n"/>
      <c r="D236" s="23">
        <f>IF(C236="","",IF(ISNUMBER(SEARCH("tiktok",C236)),"TikTok",IF(OR(ISNUMBER(SEARCH("facebook",C236)),ISNUMBER(SEARCH("fb.watch",C236))),"Facebook",IF(OR(ISNUMBER(SEARCH("youtube",C236)),ISNUMBER(SEARCH("youtu.be",C236))),"YouTube",IF(ISNUMBER(SEARCH("instagram",C236)),"Instagram","Khác")))))</f>
        <v/>
      </c>
      <c r="E236" s="7" t="n"/>
      <c r="F236" s="7" t="n"/>
      <c r="G236" s="43" t="n"/>
      <c r="H236" s="7" t="n"/>
      <c r="I236" s="26" t="n"/>
      <c r="J236" s="7" t="n"/>
      <c r="K236" s="26" t="n"/>
      <c r="L236" s="7" t="n"/>
      <c r="M236" s="26" t="n"/>
    </row>
    <row r="237">
      <c r="A237" s="26" t="n"/>
      <c r="B237" s="42" t="n"/>
      <c r="C237" s="7" t="n"/>
      <c r="D237" s="23">
        <f>IF(C237="","",IF(ISNUMBER(SEARCH("tiktok",C237)),"TikTok",IF(OR(ISNUMBER(SEARCH("facebook",C237)),ISNUMBER(SEARCH("fb.watch",C237))),"Facebook",IF(OR(ISNUMBER(SEARCH("youtube",C237)),ISNUMBER(SEARCH("youtu.be",C237))),"YouTube",IF(ISNUMBER(SEARCH("instagram",C237)),"Instagram","Khác")))))</f>
        <v/>
      </c>
      <c r="E237" s="7" t="n"/>
      <c r="F237" s="7" t="n"/>
      <c r="G237" s="43" t="n"/>
      <c r="H237" s="7" t="n"/>
      <c r="I237" s="26" t="n"/>
      <c r="J237" s="7" t="n"/>
      <c r="K237" s="26" t="n"/>
      <c r="L237" s="7" t="n"/>
      <c r="M237" s="26" t="n"/>
    </row>
    <row r="238">
      <c r="A238" s="26" t="n"/>
      <c r="B238" s="42" t="n"/>
      <c r="C238" s="7" t="n"/>
      <c r="D238" s="23">
        <f>IF(C238="","",IF(ISNUMBER(SEARCH("tiktok",C238)),"TikTok",IF(OR(ISNUMBER(SEARCH("facebook",C238)),ISNUMBER(SEARCH("fb.watch",C238))),"Facebook",IF(OR(ISNUMBER(SEARCH("youtube",C238)),ISNUMBER(SEARCH("youtu.be",C238))),"YouTube",IF(ISNUMBER(SEARCH("instagram",C238)),"Instagram","Khác")))))</f>
        <v/>
      </c>
      <c r="E238" s="7" t="n"/>
      <c r="F238" s="7" t="n"/>
      <c r="G238" s="43" t="n"/>
      <c r="H238" s="7" t="n"/>
      <c r="I238" s="26" t="n"/>
      <c r="J238" s="7" t="n"/>
      <c r="K238" s="26" t="n"/>
      <c r="L238" s="7" t="n"/>
      <c r="M238" s="26" t="n"/>
    </row>
    <row r="239">
      <c r="A239" s="26" t="n"/>
      <c r="B239" s="42" t="n"/>
      <c r="C239" s="7" t="n"/>
      <c r="D239" s="23">
        <f>IF(C239="","",IF(ISNUMBER(SEARCH("tiktok",C239)),"TikTok",IF(OR(ISNUMBER(SEARCH("facebook",C239)),ISNUMBER(SEARCH("fb.watch",C239))),"Facebook",IF(OR(ISNUMBER(SEARCH("youtube",C239)),ISNUMBER(SEARCH("youtu.be",C239))),"YouTube",IF(ISNUMBER(SEARCH("instagram",C239)),"Instagram","Khác")))))</f>
        <v/>
      </c>
      <c r="E239" s="7" t="n"/>
      <c r="F239" s="7" t="n"/>
      <c r="G239" s="43" t="n"/>
      <c r="H239" s="7" t="n"/>
      <c r="I239" s="26" t="n"/>
      <c r="J239" s="7" t="n"/>
      <c r="K239" s="26" t="n"/>
      <c r="L239" s="7" t="n"/>
      <c r="M239" s="26" t="n"/>
    </row>
    <row r="240">
      <c r="A240" s="26" t="n"/>
      <c r="B240" s="42" t="n"/>
      <c r="C240" s="7" t="n"/>
      <c r="D240" s="23">
        <f>IF(C240="","",IF(ISNUMBER(SEARCH("tiktok",C240)),"TikTok",IF(OR(ISNUMBER(SEARCH("facebook",C240)),ISNUMBER(SEARCH("fb.watch",C240))),"Facebook",IF(OR(ISNUMBER(SEARCH("youtube",C240)),ISNUMBER(SEARCH("youtu.be",C240))),"YouTube",IF(ISNUMBER(SEARCH("instagram",C240)),"Instagram","Khác")))))</f>
        <v/>
      </c>
      <c r="E240" s="7" t="n"/>
      <c r="F240" s="7" t="n"/>
      <c r="G240" s="43" t="n"/>
      <c r="H240" s="7" t="n"/>
      <c r="I240" s="26" t="n"/>
      <c r="J240" s="7" t="n"/>
      <c r="K240" s="26" t="n"/>
      <c r="L240" s="7" t="n"/>
      <c r="M240" s="26" t="n"/>
    </row>
    <row r="241">
      <c r="A241" s="26" t="n"/>
      <c r="B241" s="42" t="n"/>
      <c r="C241" s="7" t="n"/>
      <c r="D241" s="23">
        <f>IF(C241="","",IF(ISNUMBER(SEARCH("tiktok",C241)),"TikTok",IF(OR(ISNUMBER(SEARCH("facebook",C241)),ISNUMBER(SEARCH("fb.watch",C241))),"Facebook",IF(OR(ISNUMBER(SEARCH("youtube",C241)),ISNUMBER(SEARCH("youtu.be",C241))),"YouTube",IF(ISNUMBER(SEARCH("instagram",C241)),"Instagram","Khác")))))</f>
        <v/>
      </c>
      <c r="E241" s="7" t="n"/>
      <c r="F241" s="7" t="n"/>
      <c r="G241" s="43" t="n"/>
      <c r="H241" s="7" t="n"/>
      <c r="I241" s="26" t="n"/>
      <c r="J241" s="7" t="n"/>
      <c r="K241" s="26" t="n"/>
      <c r="L241" s="7" t="n"/>
      <c r="M241" s="26" t="n"/>
    </row>
    <row r="242">
      <c r="A242" s="26" t="n"/>
      <c r="B242" s="42" t="n"/>
      <c r="C242" s="7" t="n"/>
      <c r="D242" s="23">
        <f>IF(C242="","",IF(ISNUMBER(SEARCH("tiktok",C242)),"TikTok",IF(OR(ISNUMBER(SEARCH("facebook",C242)),ISNUMBER(SEARCH("fb.watch",C242))),"Facebook",IF(OR(ISNUMBER(SEARCH("youtube",C242)),ISNUMBER(SEARCH("youtu.be",C242))),"YouTube",IF(ISNUMBER(SEARCH("instagram",C242)),"Instagram","Khác")))))</f>
        <v/>
      </c>
      <c r="E242" s="7" t="n"/>
      <c r="F242" s="7" t="n"/>
      <c r="G242" s="43" t="n"/>
      <c r="H242" s="7" t="n"/>
      <c r="I242" s="26" t="n"/>
      <c r="J242" s="7" t="n"/>
      <c r="K242" s="26" t="n"/>
      <c r="L242" s="7" t="n"/>
      <c r="M242" s="26" t="n"/>
    </row>
    <row r="243">
      <c r="A243" s="26" t="n"/>
      <c r="B243" s="42" t="n"/>
      <c r="C243" s="7" t="n"/>
      <c r="D243" s="23">
        <f>IF(C243="","",IF(ISNUMBER(SEARCH("tiktok",C243)),"TikTok",IF(OR(ISNUMBER(SEARCH("facebook",C243)),ISNUMBER(SEARCH("fb.watch",C243))),"Facebook",IF(OR(ISNUMBER(SEARCH("youtube",C243)),ISNUMBER(SEARCH("youtu.be",C243))),"YouTube",IF(ISNUMBER(SEARCH("instagram",C243)),"Instagram","Khác")))))</f>
        <v/>
      </c>
      <c r="E243" s="7" t="n"/>
      <c r="F243" s="7" t="n"/>
      <c r="G243" s="43" t="n"/>
      <c r="H243" s="7" t="n"/>
      <c r="I243" s="26" t="n"/>
      <c r="J243" s="7" t="n"/>
      <c r="K243" s="26" t="n"/>
      <c r="L243" s="7" t="n"/>
      <c r="M243" s="26" t="n"/>
    </row>
    <row r="244">
      <c r="A244" s="26" t="n"/>
      <c r="B244" s="42" t="n"/>
      <c r="C244" s="7" t="n"/>
      <c r="D244" s="23">
        <f>IF(C244="","",IF(ISNUMBER(SEARCH("tiktok",C244)),"TikTok",IF(OR(ISNUMBER(SEARCH("facebook",C244)),ISNUMBER(SEARCH("fb.watch",C244))),"Facebook",IF(OR(ISNUMBER(SEARCH("youtube",C244)),ISNUMBER(SEARCH("youtu.be",C244))),"YouTube",IF(ISNUMBER(SEARCH("instagram",C244)),"Instagram","Khác")))))</f>
        <v/>
      </c>
      <c r="E244" s="7" t="n"/>
      <c r="F244" s="7" t="n"/>
      <c r="G244" s="43" t="n"/>
      <c r="H244" s="7" t="n"/>
      <c r="I244" s="26" t="n"/>
      <c r="J244" s="7" t="n"/>
      <c r="K244" s="26" t="n"/>
      <c r="L244" s="7" t="n"/>
      <c r="M244" s="26" t="n"/>
    </row>
    <row r="245">
      <c r="A245" s="26" t="n"/>
      <c r="B245" s="42" t="n"/>
      <c r="C245" s="7" t="n"/>
      <c r="D245" s="23">
        <f>IF(C245="","",IF(ISNUMBER(SEARCH("tiktok",C245)),"TikTok",IF(OR(ISNUMBER(SEARCH("facebook",C245)),ISNUMBER(SEARCH("fb.watch",C245))),"Facebook",IF(OR(ISNUMBER(SEARCH("youtube",C245)),ISNUMBER(SEARCH("youtu.be",C245))),"YouTube",IF(ISNUMBER(SEARCH("instagram",C245)),"Instagram","Khác")))))</f>
        <v/>
      </c>
      <c r="E245" s="7" t="n"/>
      <c r="F245" s="7" t="n"/>
      <c r="G245" s="43" t="n"/>
      <c r="H245" s="7" t="n"/>
      <c r="I245" s="26" t="n"/>
      <c r="J245" s="7" t="n"/>
      <c r="K245" s="26" t="n"/>
      <c r="L245" s="7" t="n"/>
      <c r="M245" s="26" t="n"/>
    </row>
    <row r="246">
      <c r="A246" s="26" t="n"/>
      <c r="B246" s="42" t="n"/>
      <c r="C246" s="7" t="n"/>
      <c r="D246" s="23">
        <f>IF(C246="","",IF(ISNUMBER(SEARCH("tiktok",C246)),"TikTok",IF(OR(ISNUMBER(SEARCH("facebook",C246)),ISNUMBER(SEARCH("fb.watch",C246))),"Facebook",IF(OR(ISNUMBER(SEARCH("youtube",C246)),ISNUMBER(SEARCH("youtu.be",C246))),"YouTube",IF(ISNUMBER(SEARCH("instagram",C246)),"Instagram","Khác")))))</f>
        <v/>
      </c>
      <c r="E246" s="7" t="n"/>
      <c r="F246" s="7" t="n"/>
      <c r="G246" s="43" t="n"/>
      <c r="H246" s="7" t="n"/>
      <c r="I246" s="26" t="n"/>
      <c r="J246" s="7" t="n"/>
      <c r="K246" s="26" t="n"/>
      <c r="L246" s="7" t="n"/>
      <c r="M246" s="26" t="n"/>
    </row>
    <row r="247">
      <c r="A247" s="26" t="n"/>
      <c r="B247" s="42" t="n"/>
      <c r="C247" s="7" t="n"/>
      <c r="D247" s="23">
        <f>IF(C247="","",IF(ISNUMBER(SEARCH("tiktok",C247)),"TikTok",IF(OR(ISNUMBER(SEARCH("facebook",C247)),ISNUMBER(SEARCH("fb.watch",C247))),"Facebook",IF(OR(ISNUMBER(SEARCH("youtube",C247)),ISNUMBER(SEARCH("youtu.be",C247))),"YouTube",IF(ISNUMBER(SEARCH("instagram",C247)),"Instagram","Khác")))))</f>
        <v/>
      </c>
      <c r="E247" s="7" t="n"/>
      <c r="F247" s="7" t="n"/>
      <c r="G247" s="43" t="n"/>
      <c r="H247" s="7" t="n"/>
      <c r="I247" s="26" t="n"/>
      <c r="J247" s="7" t="n"/>
      <c r="K247" s="26" t="n"/>
      <c r="L247" s="7" t="n"/>
      <c r="M247" s="26" t="n"/>
    </row>
    <row r="248">
      <c r="A248" s="26" t="n"/>
      <c r="B248" s="42" t="n"/>
      <c r="C248" s="7" t="n"/>
      <c r="D248" s="23">
        <f>IF(C248="","",IF(ISNUMBER(SEARCH("tiktok",C248)),"TikTok",IF(OR(ISNUMBER(SEARCH("facebook",C248)),ISNUMBER(SEARCH("fb.watch",C248))),"Facebook",IF(OR(ISNUMBER(SEARCH("youtube",C248)),ISNUMBER(SEARCH("youtu.be",C248))),"YouTube",IF(ISNUMBER(SEARCH("instagram",C248)),"Instagram","Khác")))))</f>
        <v/>
      </c>
      <c r="E248" s="7" t="n"/>
      <c r="F248" s="7" t="n"/>
      <c r="G248" s="43" t="n"/>
      <c r="H248" s="7" t="n"/>
      <c r="I248" s="26" t="n"/>
      <c r="J248" s="7" t="n"/>
      <c r="K248" s="26" t="n"/>
      <c r="L248" s="7" t="n"/>
      <c r="M248" s="26" t="n"/>
    </row>
    <row r="249">
      <c r="A249" s="26" t="n"/>
      <c r="B249" s="42" t="n"/>
      <c r="C249" s="7" t="n"/>
      <c r="D249" s="23">
        <f>IF(C249="","",IF(ISNUMBER(SEARCH("tiktok",C249)),"TikTok",IF(OR(ISNUMBER(SEARCH("facebook",C249)),ISNUMBER(SEARCH("fb.watch",C249))),"Facebook",IF(OR(ISNUMBER(SEARCH("youtube",C249)),ISNUMBER(SEARCH("youtu.be",C249))),"YouTube",IF(ISNUMBER(SEARCH("instagram",C249)),"Instagram","Khác")))))</f>
        <v/>
      </c>
      <c r="E249" s="7" t="n"/>
      <c r="F249" s="7" t="n"/>
      <c r="G249" s="43" t="n"/>
      <c r="H249" s="7" t="n"/>
      <c r="I249" s="26" t="n"/>
      <c r="J249" s="7" t="n"/>
      <c r="K249" s="26" t="n"/>
      <c r="L249" s="7" t="n"/>
      <c r="M249" s="26" t="n"/>
    </row>
    <row r="250">
      <c r="A250" s="26" t="n"/>
      <c r="B250" s="42" t="n"/>
      <c r="C250" s="7" t="n"/>
      <c r="D250" s="23">
        <f>IF(C250="","",IF(ISNUMBER(SEARCH("tiktok",C250)),"TikTok",IF(OR(ISNUMBER(SEARCH("facebook",C250)),ISNUMBER(SEARCH("fb.watch",C250))),"Facebook",IF(OR(ISNUMBER(SEARCH("youtube",C250)),ISNUMBER(SEARCH("youtu.be",C250))),"YouTube",IF(ISNUMBER(SEARCH("instagram",C250)),"Instagram","Khác")))))</f>
        <v/>
      </c>
      <c r="E250" s="7" t="n"/>
      <c r="F250" s="7" t="n"/>
      <c r="G250" s="43" t="n"/>
      <c r="H250" s="7" t="n"/>
      <c r="I250" s="26" t="n"/>
      <c r="J250" s="7" t="n"/>
      <c r="K250" s="26" t="n"/>
      <c r="L250" s="7" t="n"/>
      <c r="M250" s="26" t="n"/>
    </row>
    <row r="251">
      <c r="A251" s="26" t="n"/>
      <c r="B251" s="42" t="n"/>
      <c r="C251" s="7" t="n"/>
      <c r="D251" s="23">
        <f>IF(C251="","",IF(ISNUMBER(SEARCH("tiktok",C251)),"TikTok",IF(OR(ISNUMBER(SEARCH("facebook",C251)),ISNUMBER(SEARCH("fb.watch",C251))),"Facebook",IF(OR(ISNUMBER(SEARCH("youtube",C251)),ISNUMBER(SEARCH("youtu.be",C251))),"YouTube",IF(ISNUMBER(SEARCH("instagram",C251)),"Instagram","Khác")))))</f>
        <v/>
      </c>
      <c r="E251" s="7" t="n"/>
      <c r="F251" s="7" t="n"/>
      <c r="G251" s="43" t="n"/>
      <c r="H251" s="7" t="n"/>
      <c r="I251" s="26" t="n"/>
      <c r="J251" s="7" t="n"/>
      <c r="K251" s="26" t="n"/>
      <c r="L251" s="7" t="n"/>
      <c r="M251" s="26" t="n"/>
    </row>
    <row r="252">
      <c r="A252" s="26" t="n"/>
      <c r="B252" s="42" t="n"/>
      <c r="C252" s="7" t="n"/>
      <c r="D252" s="23">
        <f>IF(C252="","",IF(ISNUMBER(SEARCH("tiktok",C252)),"TikTok",IF(OR(ISNUMBER(SEARCH("facebook",C252)),ISNUMBER(SEARCH("fb.watch",C252))),"Facebook",IF(OR(ISNUMBER(SEARCH("youtube",C252)),ISNUMBER(SEARCH("youtu.be",C252))),"YouTube",IF(ISNUMBER(SEARCH("instagram",C252)),"Instagram","Khác")))))</f>
        <v/>
      </c>
      <c r="E252" s="7" t="n"/>
      <c r="F252" s="7" t="n"/>
      <c r="G252" s="43" t="n"/>
      <c r="H252" s="7" t="n"/>
      <c r="I252" s="26" t="n"/>
      <c r="J252" s="7" t="n"/>
      <c r="K252" s="26" t="n"/>
      <c r="L252" s="7" t="n"/>
      <c r="M252" s="26" t="n"/>
    </row>
    <row r="253">
      <c r="A253" s="26" t="n"/>
      <c r="B253" s="42" t="n"/>
      <c r="C253" s="7" t="n"/>
      <c r="D253" s="23">
        <f>IF(C253="","",IF(ISNUMBER(SEARCH("tiktok",C253)),"TikTok",IF(OR(ISNUMBER(SEARCH("facebook",C253)),ISNUMBER(SEARCH("fb.watch",C253))),"Facebook",IF(OR(ISNUMBER(SEARCH("youtube",C253)),ISNUMBER(SEARCH("youtu.be",C253))),"YouTube",IF(ISNUMBER(SEARCH("instagram",C253)),"Instagram","Khác")))))</f>
        <v/>
      </c>
      <c r="E253" s="7" t="n"/>
      <c r="F253" s="7" t="n"/>
      <c r="G253" s="43" t="n"/>
      <c r="H253" s="7" t="n"/>
      <c r="I253" s="26" t="n"/>
      <c r="J253" s="7" t="n"/>
      <c r="K253" s="26" t="n"/>
      <c r="L253" s="7" t="n"/>
      <c r="M253" s="26" t="n"/>
    </row>
    <row r="254">
      <c r="A254" s="26" t="n"/>
      <c r="B254" s="42" t="n"/>
      <c r="C254" s="7" t="n"/>
      <c r="D254" s="23">
        <f>IF(C254="","",IF(ISNUMBER(SEARCH("tiktok",C254)),"TikTok",IF(OR(ISNUMBER(SEARCH("facebook",C254)),ISNUMBER(SEARCH("fb.watch",C254))),"Facebook",IF(OR(ISNUMBER(SEARCH("youtube",C254)),ISNUMBER(SEARCH("youtu.be",C254))),"YouTube",IF(ISNUMBER(SEARCH("instagram",C254)),"Instagram","Khác")))))</f>
        <v/>
      </c>
      <c r="E254" s="7" t="n"/>
      <c r="F254" s="7" t="n"/>
      <c r="G254" s="43" t="n"/>
      <c r="H254" s="7" t="n"/>
      <c r="I254" s="26" t="n"/>
      <c r="J254" s="7" t="n"/>
      <c r="K254" s="26" t="n"/>
      <c r="L254" s="7" t="n"/>
      <c r="M254" s="26" t="n"/>
    </row>
    <row r="255">
      <c r="A255" s="26" t="n"/>
      <c r="B255" s="42" t="n"/>
      <c r="C255" s="7" t="n"/>
      <c r="D255" s="23">
        <f>IF(C255="","",IF(ISNUMBER(SEARCH("tiktok",C255)),"TikTok",IF(OR(ISNUMBER(SEARCH("facebook",C255)),ISNUMBER(SEARCH("fb.watch",C255))),"Facebook",IF(OR(ISNUMBER(SEARCH("youtube",C255)),ISNUMBER(SEARCH("youtu.be",C255))),"YouTube",IF(ISNUMBER(SEARCH("instagram",C255)),"Instagram","Khác")))))</f>
        <v/>
      </c>
      <c r="E255" s="7" t="n"/>
      <c r="F255" s="7" t="n"/>
      <c r="G255" s="43" t="n"/>
      <c r="H255" s="7" t="n"/>
      <c r="I255" s="26" t="n"/>
      <c r="J255" s="7" t="n"/>
      <c r="K255" s="26" t="n"/>
      <c r="L255" s="7" t="n"/>
      <c r="M255" s="26" t="n"/>
    </row>
    <row r="256">
      <c r="A256" s="26" t="n"/>
      <c r="B256" s="42" t="n"/>
      <c r="C256" s="7" t="n"/>
      <c r="D256" s="23">
        <f>IF(C256="","",IF(ISNUMBER(SEARCH("tiktok",C256)),"TikTok",IF(OR(ISNUMBER(SEARCH("facebook",C256)),ISNUMBER(SEARCH("fb.watch",C256))),"Facebook",IF(OR(ISNUMBER(SEARCH("youtube",C256)),ISNUMBER(SEARCH("youtu.be",C256))),"YouTube",IF(ISNUMBER(SEARCH("instagram",C256)),"Instagram","Khác")))))</f>
        <v/>
      </c>
      <c r="E256" s="7" t="n"/>
      <c r="F256" s="7" t="n"/>
      <c r="G256" s="43" t="n"/>
      <c r="H256" s="7" t="n"/>
      <c r="I256" s="26" t="n"/>
      <c r="J256" s="7" t="n"/>
      <c r="K256" s="26" t="n"/>
      <c r="L256" s="7" t="n"/>
      <c r="M256" s="26" t="n"/>
    </row>
    <row r="257">
      <c r="A257" s="26" t="n"/>
      <c r="B257" s="42" t="n"/>
      <c r="C257" s="7" t="n"/>
      <c r="D257" s="23">
        <f>IF(C257="","",IF(ISNUMBER(SEARCH("tiktok",C257)),"TikTok",IF(OR(ISNUMBER(SEARCH("facebook",C257)),ISNUMBER(SEARCH("fb.watch",C257))),"Facebook",IF(OR(ISNUMBER(SEARCH("youtube",C257)),ISNUMBER(SEARCH("youtu.be",C257))),"YouTube",IF(ISNUMBER(SEARCH("instagram",C257)),"Instagram","Khác")))))</f>
        <v/>
      </c>
      <c r="E257" s="7" t="n"/>
      <c r="F257" s="7" t="n"/>
      <c r="G257" s="43" t="n"/>
      <c r="H257" s="7" t="n"/>
      <c r="I257" s="26" t="n"/>
      <c r="J257" s="7" t="n"/>
      <c r="K257" s="26" t="n"/>
      <c r="L257" s="7" t="n"/>
      <c r="M257" s="26" t="n"/>
    </row>
    <row r="258">
      <c r="A258" s="26" t="n"/>
      <c r="B258" s="42" t="n"/>
      <c r="C258" s="7" t="n"/>
      <c r="D258" s="23">
        <f>IF(C258="","",IF(ISNUMBER(SEARCH("tiktok",C258)),"TikTok",IF(OR(ISNUMBER(SEARCH("facebook",C258)),ISNUMBER(SEARCH("fb.watch",C258))),"Facebook",IF(OR(ISNUMBER(SEARCH("youtube",C258)),ISNUMBER(SEARCH("youtu.be",C258))),"YouTube",IF(ISNUMBER(SEARCH("instagram",C258)),"Instagram","Khác")))))</f>
        <v/>
      </c>
      <c r="E258" s="7" t="n"/>
      <c r="F258" s="7" t="n"/>
      <c r="G258" s="43" t="n"/>
      <c r="H258" s="7" t="n"/>
      <c r="I258" s="26" t="n"/>
      <c r="J258" s="7" t="n"/>
      <c r="K258" s="26" t="n"/>
      <c r="L258" s="7" t="n"/>
      <c r="M258" s="26" t="n"/>
    </row>
    <row r="259">
      <c r="A259" s="26" t="n"/>
      <c r="B259" s="42" t="n"/>
      <c r="C259" s="7" t="n"/>
      <c r="D259" s="23">
        <f>IF(C259="","",IF(ISNUMBER(SEARCH("tiktok",C259)),"TikTok",IF(OR(ISNUMBER(SEARCH("facebook",C259)),ISNUMBER(SEARCH("fb.watch",C259))),"Facebook",IF(OR(ISNUMBER(SEARCH("youtube",C259)),ISNUMBER(SEARCH("youtu.be",C259))),"YouTube",IF(ISNUMBER(SEARCH("instagram",C259)),"Instagram","Khác")))))</f>
        <v/>
      </c>
      <c r="E259" s="7" t="n"/>
      <c r="F259" s="7" t="n"/>
      <c r="G259" s="43" t="n"/>
      <c r="H259" s="7" t="n"/>
      <c r="I259" s="26" t="n"/>
      <c r="J259" s="7" t="n"/>
      <c r="K259" s="26" t="n"/>
      <c r="L259" s="7" t="n"/>
      <c r="M259" s="26" t="n"/>
    </row>
    <row r="260">
      <c r="A260" s="26" t="n"/>
      <c r="B260" s="42" t="n"/>
      <c r="C260" s="7" t="n"/>
      <c r="D260" s="23">
        <f>IF(C260="","",IF(ISNUMBER(SEARCH("tiktok",C260)),"TikTok",IF(OR(ISNUMBER(SEARCH("facebook",C260)),ISNUMBER(SEARCH("fb.watch",C260))),"Facebook",IF(OR(ISNUMBER(SEARCH("youtube",C260)),ISNUMBER(SEARCH("youtu.be",C260))),"YouTube",IF(ISNUMBER(SEARCH("instagram",C260)),"Instagram","Khác")))))</f>
        <v/>
      </c>
      <c r="E260" s="7" t="n"/>
      <c r="F260" s="7" t="n"/>
      <c r="G260" s="43" t="n"/>
      <c r="H260" s="7" t="n"/>
      <c r="I260" s="26" t="n"/>
      <c r="J260" s="7" t="n"/>
      <c r="K260" s="26" t="n"/>
      <c r="L260" s="7" t="n"/>
      <c r="M260" s="26" t="n"/>
    </row>
    <row r="261">
      <c r="A261" s="26" t="n"/>
      <c r="B261" s="42" t="n"/>
      <c r="C261" s="7" t="n"/>
      <c r="D261" s="23">
        <f>IF(C261="","",IF(ISNUMBER(SEARCH("tiktok",C261)),"TikTok",IF(OR(ISNUMBER(SEARCH("facebook",C261)),ISNUMBER(SEARCH("fb.watch",C261))),"Facebook",IF(OR(ISNUMBER(SEARCH("youtube",C261)),ISNUMBER(SEARCH("youtu.be",C261))),"YouTube",IF(ISNUMBER(SEARCH("instagram",C261)),"Instagram","Khác")))))</f>
        <v/>
      </c>
      <c r="E261" s="7" t="n"/>
      <c r="F261" s="7" t="n"/>
      <c r="G261" s="43" t="n"/>
      <c r="H261" s="7" t="n"/>
      <c r="I261" s="26" t="n"/>
      <c r="J261" s="7" t="n"/>
      <c r="K261" s="26" t="n"/>
      <c r="L261" s="7" t="n"/>
      <c r="M261" s="26" t="n"/>
    </row>
    <row r="262">
      <c r="A262" s="26" t="n"/>
      <c r="B262" s="42" t="n"/>
      <c r="C262" s="7" t="n"/>
      <c r="D262" s="23">
        <f>IF(C262="","",IF(ISNUMBER(SEARCH("tiktok",C262)),"TikTok",IF(OR(ISNUMBER(SEARCH("facebook",C262)),ISNUMBER(SEARCH("fb.watch",C262))),"Facebook",IF(OR(ISNUMBER(SEARCH("youtube",C262)),ISNUMBER(SEARCH("youtu.be",C262))),"YouTube",IF(ISNUMBER(SEARCH("instagram",C262)),"Instagram","Khác")))))</f>
        <v/>
      </c>
      <c r="E262" s="7" t="n"/>
      <c r="F262" s="7" t="n"/>
      <c r="G262" s="43" t="n"/>
      <c r="H262" s="7" t="n"/>
      <c r="I262" s="26" t="n"/>
      <c r="J262" s="7" t="n"/>
      <c r="K262" s="26" t="n"/>
      <c r="L262" s="7" t="n"/>
      <c r="M262" s="26" t="n"/>
    </row>
    <row r="263">
      <c r="A263" s="26" t="n"/>
      <c r="B263" s="42" t="n"/>
      <c r="C263" s="7" t="n"/>
      <c r="D263" s="23">
        <f>IF(C263="","",IF(ISNUMBER(SEARCH("tiktok",C263)),"TikTok",IF(OR(ISNUMBER(SEARCH("facebook",C263)),ISNUMBER(SEARCH("fb.watch",C263))),"Facebook",IF(OR(ISNUMBER(SEARCH("youtube",C263)),ISNUMBER(SEARCH("youtu.be",C263))),"YouTube",IF(ISNUMBER(SEARCH("instagram",C263)),"Instagram","Khác")))))</f>
        <v/>
      </c>
      <c r="E263" s="7" t="n"/>
      <c r="F263" s="7" t="n"/>
      <c r="G263" s="43" t="n"/>
      <c r="H263" s="7" t="n"/>
      <c r="I263" s="26" t="n"/>
      <c r="J263" s="7" t="n"/>
      <c r="K263" s="26" t="n"/>
      <c r="L263" s="7" t="n"/>
      <c r="M263" s="26" t="n"/>
    </row>
    <row r="264">
      <c r="A264" s="26" t="n"/>
      <c r="B264" s="42" t="n"/>
      <c r="C264" s="7" t="n"/>
      <c r="D264" s="23">
        <f>IF(C264="","",IF(ISNUMBER(SEARCH("tiktok",C264)),"TikTok",IF(OR(ISNUMBER(SEARCH("facebook",C264)),ISNUMBER(SEARCH("fb.watch",C264))),"Facebook",IF(OR(ISNUMBER(SEARCH("youtube",C264)),ISNUMBER(SEARCH("youtu.be",C264))),"YouTube",IF(ISNUMBER(SEARCH("instagram",C264)),"Instagram","Khác")))))</f>
        <v/>
      </c>
      <c r="E264" s="7" t="n"/>
      <c r="F264" s="7" t="n"/>
      <c r="G264" s="43" t="n"/>
      <c r="H264" s="7" t="n"/>
      <c r="I264" s="26" t="n"/>
      <c r="J264" s="7" t="n"/>
      <c r="K264" s="26" t="n"/>
      <c r="L264" s="7" t="n"/>
      <c r="M264" s="26" t="n"/>
    </row>
    <row r="265">
      <c r="A265" s="26" t="n"/>
      <c r="B265" s="42" t="n"/>
      <c r="C265" s="7" t="n"/>
      <c r="D265" s="23">
        <f>IF(C265="","",IF(ISNUMBER(SEARCH("tiktok",C265)),"TikTok",IF(OR(ISNUMBER(SEARCH("facebook",C265)),ISNUMBER(SEARCH("fb.watch",C265))),"Facebook",IF(OR(ISNUMBER(SEARCH("youtube",C265)),ISNUMBER(SEARCH("youtu.be",C265))),"YouTube",IF(ISNUMBER(SEARCH("instagram",C265)),"Instagram","Khác")))))</f>
        <v/>
      </c>
      <c r="E265" s="7" t="n"/>
      <c r="F265" s="7" t="n"/>
      <c r="G265" s="43" t="n"/>
      <c r="H265" s="7" t="n"/>
      <c r="I265" s="26" t="n"/>
      <c r="J265" s="7" t="n"/>
      <c r="K265" s="26" t="n"/>
      <c r="L265" s="7" t="n"/>
      <c r="M265" s="26" t="n"/>
    </row>
    <row r="266">
      <c r="A266" s="26" t="n"/>
      <c r="B266" s="42" t="n"/>
      <c r="C266" s="7" t="n"/>
      <c r="D266" s="23">
        <f>IF(C266="","",IF(ISNUMBER(SEARCH("tiktok",C266)),"TikTok",IF(OR(ISNUMBER(SEARCH("facebook",C266)),ISNUMBER(SEARCH("fb.watch",C266))),"Facebook",IF(OR(ISNUMBER(SEARCH("youtube",C266)),ISNUMBER(SEARCH("youtu.be",C266))),"YouTube",IF(ISNUMBER(SEARCH("instagram",C266)),"Instagram","Khác")))))</f>
        <v/>
      </c>
      <c r="E266" s="7" t="n"/>
      <c r="F266" s="7" t="n"/>
      <c r="G266" s="43" t="n"/>
      <c r="H266" s="7" t="n"/>
      <c r="I266" s="26" t="n"/>
      <c r="J266" s="7" t="n"/>
      <c r="K266" s="26" t="n"/>
      <c r="L266" s="7" t="n"/>
      <c r="M266" s="26" t="n"/>
    </row>
    <row r="267">
      <c r="A267" s="26" t="n"/>
      <c r="B267" s="42" t="n"/>
      <c r="C267" s="7" t="n"/>
      <c r="D267" s="23">
        <f>IF(C267="","",IF(ISNUMBER(SEARCH("tiktok",C267)),"TikTok",IF(OR(ISNUMBER(SEARCH("facebook",C267)),ISNUMBER(SEARCH("fb.watch",C267))),"Facebook",IF(OR(ISNUMBER(SEARCH("youtube",C267)),ISNUMBER(SEARCH("youtu.be",C267))),"YouTube",IF(ISNUMBER(SEARCH("instagram",C267)),"Instagram","Khác")))))</f>
        <v/>
      </c>
      <c r="E267" s="7" t="n"/>
      <c r="F267" s="7" t="n"/>
      <c r="G267" s="43" t="n"/>
      <c r="H267" s="7" t="n"/>
      <c r="I267" s="26" t="n"/>
      <c r="J267" s="7" t="n"/>
      <c r="K267" s="26" t="n"/>
      <c r="L267" s="7" t="n"/>
      <c r="M267" s="26" t="n"/>
    </row>
    <row r="268">
      <c r="A268" s="26" t="n"/>
      <c r="B268" s="42" t="n"/>
      <c r="C268" s="7" t="n"/>
      <c r="D268" s="23">
        <f>IF(C268="","",IF(ISNUMBER(SEARCH("tiktok",C268)),"TikTok",IF(OR(ISNUMBER(SEARCH("facebook",C268)),ISNUMBER(SEARCH("fb.watch",C268))),"Facebook",IF(OR(ISNUMBER(SEARCH("youtube",C268)),ISNUMBER(SEARCH("youtu.be",C268))),"YouTube",IF(ISNUMBER(SEARCH("instagram",C268)),"Instagram","Khác")))))</f>
        <v/>
      </c>
      <c r="E268" s="7" t="n"/>
      <c r="F268" s="7" t="n"/>
      <c r="G268" s="43" t="n"/>
      <c r="H268" s="7" t="n"/>
      <c r="I268" s="26" t="n"/>
      <c r="J268" s="7" t="n"/>
      <c r="K268" s="26" t="n"/>
      <c r="L268" s="7" t="n"/>
      <c r="M268" s="26" t="n"/>
    </row>
    <row r="269">
      <c r="A269" s="26" t="n"/>
      <c r="B269" s="42" t="n"/>
      <c r="C269" s="7" t="n"/>
      <c r="D269" s="23">
        <f>IF(C269="","",IF(ISNUMBER(SEARCH("tiktok",C269)),"TikTok",IF(OR(ISNUMBER(SEARCH("facebook",C269)),ISNUMBER(SEARCH("fb.watch",C269))),"Facebook",IF(OR(ISNUMBER(SEARCH("youtube",C269)),ISNUMBER(SEARCH("youtu.be",C269))),"YouTube",IF(ISNUMBER(SEARCH("instagram",C269)),"Instagram","Khác")))))</f>
        <v/>
      </c>
      <c r="E269" s="7" t="n"/>
      <c r="F269" s="7" t="n"/>
      <c r="G269" s="43" t="n"/>
      <c r="H269" s="7" t="n"/>
      <c r="I269" s="26" t="n"/>
      <c r="J269" s="7" t="n"/>
      <c r="K269" s="26" t="n"/>
      <c r="L269" s="7" t="n"/>
      <c r="M269" s="26" t="n"/>
    </row>
    <row r="270">
      <c r="A270" s="26" t="n"/>
      <c r="B270" s="42" t="n"/>
      <c r="C270" s="7" t="n"/>
      <c r="D270" s="23">
        <f>IF(C270="","",IF(ISNUMBER(SEARCH("tiktok",C270)),"TikTok",IF(OR(ISNUMBER(SEARCH("facebook",C270)),ISNUMBER(SEARCH("fb.watch",C270))),"Facebook",IF(OR(ISNUMBER(SEARCH("youtube",C270)),ISNUMBER(SEARCH("youtu.be",C270))),"YouTube",IF(ISNUMBER(SEARCH("instagram",C270)),"Instagram","Khác")))))</f>
        <v/>
      </c>
      <c r="E270" s="7" t="n"/>
      <c r="F270" s="7" t="n"/>
      <c r="G270" s="43" t="n"/>
      <c r="H270" s="7" t="n"/>
      <c r="I270" s="26" t="n"/>
      <c r="J270" s="7" t="n"/>
      <c r="K270" s="26" t="n"/>
      <c r="L270" s="7" t="n"/>
      <c r="M270" s="26" t="n"/>
    </row>
    <row r="271">
      <c r="A271" s="26" t="n"/>
      <c r="B271" s="42" t="n"/>
      <c r="C271" s="7" t="n"/>
      <c r="D271" s="23">
        <f>IF(C271="","",IF(ISNUMBER(SEARCH("tiktok",C271)),"TikTok",IF(OR(ISNUMBER(SEARCH("facebook",C271)),ISNUMBER(SEARCH("fb.watch",C271))),"Facebook",IF(OR(ISNUMBER(SEARCH("youtube",C271)),ISNUMBER(SEARCH("youtu.be",C271))),"YouTube",IF(ISNUMBER(SEARCH("instagram",C271)),"Instagram","Khác")))))</f>
        <v/>
      </c>
      <c r="E271" s="7" t="n"/>
      <c r="F271" s="7" t="n"/>
      <c r="G271" s="43" t="n"/>
      <c r="H271" s="7" t="n"/>
      <c r="I271" s="26" t="n"/>
      <c r="J271" s="7" t="n"/>
      <c r="K271" s="26" t="n"/>
      <c r="L271" s="7" t="n"/>
      <c r="M271" s="26" t="n"/>
    </row>
    <row r="272">
      <c r="A272" s="26" t="n"/>
      <c r="B272" s="42" t="n"/>
      <c r="C272" s="7" t="n"/>
      <c r="D272" s="23">
        <f>IF(C272="","",IF(ISNUMBER(SEARCH("tiktok",C272)),"TikTok",IF(OR(ISNUMBER(SEARCH("facebook",C272)),ISNUMBER(SEARCH("fb.watch",C272))),"Facebook",IF(OR(ISNUMBER(SEARCH("youtube",C272)),ISNUMBER(SEARCH("youtu.be",C272))),"YouTube",IF(ISNUMBER(SEARCH("instagram",C272)),"Instagram","Khác")))))</f>
        <v/>
      </c>
      <c r="E272" s="7" t="n"/>
      <c r="F272" s="7" t="n"/>
      <c r="G272" s="43" t="n"/>
      <c r="H272" s="7" t="n"/>
      <c r="I272" s="26" t="n"/>
      <c r="J272" s="7" t="n"/>
      <c r="K272" s="26" t="n"/>
      <c r="L272" s="7" t="n"/>
      <c r="M272" s="26" t="n"/>
    </row>
    <row r="273">
      <c r="A273" s="26" t="n"/>
      <c r="B273" s="42" t="n"/>
      <c r="C273" s="7" t="n"/>
      <c r="D273" s="23">
        <f>IF(C273="","",IF(ISNUMBER(SEARCH("tiktok",C273)),"TikTok",IF(OR(ISNUMBER(SEARCH("facebook",C273)),ISNUMBER(SEARCH("fb.watch",C273))),"Facebook",IF(OR(ISNUMBER(SEARCH("youtube",C273)),ISNUMBER(SEARCH("youtu.be",C273))),"YouTube",IF(ISNUMBER(SEARCH("instagram",C273)),"Instagram","Khác")))))</f>
        <v/>
      </c>
      <c r="E273" s="7" t="n"/>
      <c r="F273" s="7" t="n"/>
      <c r="G273" s="43" t="n"/>
      <c r="H273" s="7" t="n"/>
      <c r="I273" s="26" t="n"/>
      <c r="J273" s="7" t="n"/>
      <c r="K273" s="26" t="n"/>
      <c r="L273" s="7" t="n"/>
      <c r="M273" s="26" t="n"/>
    </row>
    <row r="274">
      <c r="A274" s="26" t="n"/>
      <c r="B274" s="42" t="n"/>
      <c r="C274" s="7" t="n"/>
      <c r="D274" s="23">
        <f>IF(C274="","",IF(ISNUMBER(SEARCH("tiktok",C274)),"TikTok",IF(OR(ISNUMBER(SEARCH("facebook",C274)),ISNUMBER(SEARCH("fb.watch",C274))),"Facebook",IF(OR(ISNUMBER(SEARCH("youtube",C274)),ISNUMBER(SEARCH("youtu.be",C274))),"YouTube",IF(ISNUMBER(SEARCH("instagram",C274)),"Instagram","Khác")))))</f>
        <v/>
      </c>
      <c r="E274" s="7" t="n"/>
      <c r="F274" s="7" t="n"/>
      <c r="G274" s="43" t="n"/>
      <c r="H274" s="7" t="n"/>
      <c r="I274" s="26" t="n"/>
      <c r="J274" s="7" t="n"/>
      <c r="K274" s="26" t="n"/>
      <c r="L274" s="7" t="n"/>
      <c r="M274" s="26" t="n"/>
    </row>
    <row r="275">
      <c r="A275" s="26" t="n"/>
      <c r="B275" s="42" t="n"/>
      <c r="C275" s="7" t="n"/>
      <c r="D275" s="23">
        <f>IF(C275="","",IF(ISNUMBER(SEARCH("tiktok",C275)),"TikTok",IF(OR(ISNUMBER(SEARCH("facebook",C275)),ISNUMBER(SEARCH("fb.watch",C275))),"Facebook",IF(OR(ISNUMBER(SEARCH("youtube",C275)),ISNUMBER(SEARCH("youtu.be",C275))),"YouTube",IF(ISNUMBER(SEARCH("instagram",C275)),"Instagram","Khác")))))</f>
        <v/>
      </c>
      <c r="E275" s="7" t="n"/>
      <c r="F275" s="7" t="n"/>
      <c r="G275" s="43" t="n"/>
      <c r="H275" s="7" t="n"/>
      <c r="I275" s="26" t="n"/>
      <c r="J275" s="7" t="n"/>
      <c r="K275" s="26" t="n"/>
      <c r="L275" s="7" t="n"/>
      <c r="M275" s="26" t="n"/>
    </row>
    <row r="276">
      <c r="A276" s="26" t="n"/>
      <c r="B276" s="42" t="n"/>
      <c r="C276" s="7" t="n"/>
      <c r="D276" s="23">
        <f>IF(C276="","",IF(ISNUMBER(SEARCH("tiktok",C276)),"TikTok",IF(OR(ISNUMBER(SEARCH("facebook",C276)),ISNUMBER(SEARCH("fb.watch",C276))),"Facebook",IF(OR(ISNUMBER(SEARCH("youtube",C276)),ISNUMBER(SEARCH("youtu.be",C276))),"YouTube",IF(ISNUMBER(SEARCH("instagram",C276)),"Instagram","Khác")))))</f>
        <v/>
      </c>
      <c r="E276" s="7" t="n"/>
      <c r="F276" s="7" t="n"/>
      <c r="G276" s="43" t="n"/>
      <c r="H276" s="7" t="n"/>
      <c r="I276" s="26" t="n"/>
      <c r="J276" s="7" t="n"/>
      <c r="K276" s="26" t="n"/>
      <c r="L276" s="7" t="n"/>
      <c r="M276" s="26" t="n"/>
    </row>
    <row r="277">
      <c r="A277" s="26" t="n"/>
      <c r="B277" s="42" t="n"/>
      <c r="C277" s="7" t="n"/>
      <c r="D277" s="23">
        <f>IF(C277="","",IF(ISNUMBER(SEARCH("tiktok",C277)),"TikTok",IF(OR(ISNUMBER(SEARCH("facebook",C277)),ISNUMBER(SEARCH("fb.watch",C277))),"Facebook",IF(OR(ISNUMBER(SEARCH("youtube",C277)),ISNUMBER(SEARCH("youtu.be",C277))),"YouTube",IF(ISNUMBER(SEARCH("instagram",C277)),"Instagram","Khác")))))</f>
        <v/>
      </c>
      <c r="E277" s="7" t="n"/>
      <c r="F277" s="7" t="n"/>
      <c r="G277" s="43" t="n"/>
      <c r="H277" s="7" t="n"/>
      <c r="I277" s="26" t="n"/>
      <c r="J277" s="7" t="n"/>
      <c r="K277" s="26" t="n"/>
      <c r="L277" s="7" t="n"/>
      <c r="M277" s="26" t="n"/>
    </row>
    <row r="278">
      <c r="A278" s="26" t="n"/>
      <c r="B278" s="42" t="n"/>
      <c r="C278" s="7" t="n"/>
      <c r="D278" s="23">
        <f>IF(C278="","",IF(ISNUMBER(SEARCH("tiktok",C278)),"TikTok",IF(OR(ISNUMBER(SEARCH("facebook",C278)),ISNUMBER(SEARCH("fb.watch",C278))),"Facebook",IF(OR(ISNUMBER(SEARCH("youtube",C278)),ISNUMBER(SEARCH("youtu.be",C278))),"YouTube",IF(ISNUMBER(SEARCH("instagram",C278)),"Instagram","Khác")))))</f>
        <v/>
      </c>
      <c r="E278" s="7" t="n"/>
      <c r="F278" s="7" t="n"/>
      <c r="G278" s="43" t="n"/>
      <c r="H278" s="7" t="n"/>
      <c r="I278" s="26" t="n"/>
      <c r="J278" s="7" t="n"/>
      <c r="K278" s="26" t="n"/>
      <c r="L278" s="7" t="n"/>
      <c r="M278" s="26" t="n"/>
    </row>
    <row r="279">
      <c r="A279" s="26" t="n"/>
      <c r="B279" s="42" t="n"/>
      <c r="C279" s="7" t="n"/>
      <c r="D279" s="23">
        <f>IF(C279="","",IF(ISNUMBER(SEARCH("tiktok",C279)),"TikTok",IF(OR(ISNUMBER(SEARCH("facebook",C279)),ISNUMBER(SEARCH("fb.watch",C279))),"Facebook",IF(OR(ISNUMBER(SEARCH("youtube",C279)),ISNUMBER(SEARCH("youtu.be",C279))),"YouTube",IF(ISNUMBER(SEARCH("instagram",C279)),"Instagram","Khác")))))</f>
        <v/>
      </c>
      <c r="E279" s="7" t="n"/>
      <c r="F279" s="7" t="n"/>
      <c r="G279" s="43" t="n"/>
      <c r="H279" s="7" t="n"/>
      <c r="I279" s="26" t="n"/>
      <c r="J279" s="7" t="n"/>
      <c r="K279" s="26" t="n"/>
      <c r="L279" s="7" t="n"/>
      <c r="M279" s="26" t="n"/>
    </row>
    <row r="280">
      <c r="A280" s="26" t="n"/>
      <c r="B280" s="42" t="n"/>
      <c r="C280" s="7" t="n"/>
      <c r="D280" s="23">
        <f>IF(C280="","",IF(ISNUMBER(SEARCH("tiktok",C280)),"TikTok",IF(OR(ISNUMBER(SEARCH("facebook",C280)),ISNUMBER(SEARCH("fb.watch",C280))),"Facebook",IF(OR(ISNUMBER(SEARCH("youtube",C280)),ISNUMBER(SEARCH("youtu.be",C280))),"YouTube",IF(ISNUMBER(SEARCH("instagram",C280)),"Instagram","Khác")))))</f>
        <v/>
      </c>
      <c r="E280" s="7" t="n"/>
      <c r="F280" s="7" t="n"/>
      <c r="G280" s="43" t="n"/>
      <c r="H280" s="7" t="n"/>
      <c r="I280" s="26" t="n"/>
      <c r="J280" s="7" t="n"/>
      <c r="K280" s="26" t="n"/>
      <c r="L280" s="7" t="n"/>
      <c r="M280" s="26" t="n"/>
    </row>
    <row r="281">
      <c r="A281" s="26" t="n"/>
      <c r="B281" s="42" t="n"/>
      <c r="C281" s="7" t="n"/>
      <c r="D281" s="23">
        <f>IF(C281="","",IF(ISNUMBER(SEARCH("tiktok",C281)),"TikTok",IF(OR(ISNUMBER(SEARCH("facebook",C281)),ISNUMBER(SEARCH("fb.watch",C281))),"Facebook",IF(OR(ISNUMBER(SEARCH("youtube",C281)),ISNUMBER(SEARCH("youtu.be",C281))),"YouTube",IF(ISNUMBER(SEARCH("instagram",C281)),"Instagram","Khác")))))</f>
        <v/>
      </c>
      <c r="E281" s="7" t="n"/>
      <c r="F281" s="7" t="n"/>
      <c r="G281" s="43" t="n"/>
      <c r="H281" s="7" t="n"/>
      <c r="I281" s="26" t="n"/>
      <c r="J281" s="7" t="n"/>
      <c r="K281" s="26" t="n"/>
      <c r="L281" s="7" t="n"/>
      <c r="M281" s="26" t="n"/>
    </row>
    <row r="282">
      <c r="A282" s="26" t="n"/>
      <c r="B282" s="42" t="n"/>
      <c r="C282" s="7" t="n"/>
      <c r="D282" s="23">
        <f>IF(C282="","",IF(ISNUMBER(SEARCH("tiktok",C282)),"TikTok",IF(OR(ISNUMBER(SEARCH("facebook",C282)),ISNUMBER(SEARCH("fb.watch",C282))),"Facebook",IF(OR(ISNUMBER(SEARCH("youtube",C282)),ISNUMBER(SEARCH("youtu.be",C282))),"YouTube",IF(ISNUMBER(SEARCH("instagram",C282)),"Instagram","Khác")))))</f>
        <v/>
      </c>
      <c r="E282" s="7" t="n"/>
      <c r="F282" s="7" t="n"/>
      <c r="G282" s="43" t="n"/>
      <c r="H282" s="7" t="n"/>
      <c r="I282" s="26" t="n"/>
      <c r="J282" s="7" t="n"/>
      <c r="K282" s="26" t="n"/>
      <c r="L282" s="7" t="n"/>
      <c r="M282" s="26" t="n"/>
    </row>
    <row r="283">
      <c r="A283" s="26" t="n"/>
      <c r="B283" s="42" t="n"/>
      <c r="C283" s="7" t="n"/>
      <c r="D283" s="23">
        <f>IF(C283="","",IF(ISNUMBER(SEARCH("tiktok",C283)),"TikTok",IF(OR(ISNUMBER(SEARCH("facebook",C283)),ISNUMBER(SEARCH("fb.watch",C283))),"Facebook",IF(OR(ISNUMBER(SEARCH("youtube",C283)),ISNUMBER(SEARCH("youtu.be",C283))),"YouTube",IF(ISNUMBER(SEARCH("instagram",C283)),"Instagram","Khác")))))</f>
        <v/>
      </c>
      <c r="E283" s="7" t="n"/>
      <c r="F283" s="7" t="n"/>
      <c r="G283" s="43" t="n"/>
      <c r="H283" s="7" t="n"/>
      <c r="I283" s="26" t="n"/>
      <c r="J283" s="7" t="n"/>
      <c r="K283" s="26" t="n"/>
      <c r="L283" s="7" t="n"/>
      <c r="M283" s="26" t="n"/>
    </row>
    <row r="284">
      <c r="A284" s="26" t="n"/>
      <c r="B284" s="42" t="n"/>
      <c r="C284" s="7" t="n"/>
      <c r="D284" s="23">
        <f>IF(C284="","",IF(ISNUMBER(SEARCH("tiktok",C284)),"TikTok",IF(OR(ISNUMBER(SEARCH("facebook",C284)),ISNUMBER(SEARCH("fb.watch",C284))),"Facebook",IF(OR(ISNUMBER(SEARCH("youtube",C284)),ISNUMBER(SEARCH("youtu.be",C284))),"YouTube",IF(ISNUMBER(SEARCH("instagram",C284)),"Instagram","Khác")))))</f>
        <v/>
      </c>
      <c r="E284" s="7" t="n"/>
      <c r="F284" s="7" t="n"/>
      <c r="G284" s="43" t="n"/>
      <c r="H284" s="7" t="n"/>
      <c r="I284" s="26" t="n"/>
      <c r="J284" s="7" t="n"/>
      <c r="K284" s="26" t="n"/>
      <c r="L284" s="7" t="n"/>
      <c r="M284" s="26" t="n"/>
    </row>
    <row r="285">
      <c r="A285" s="26" t="n"/>
      <c r="B285" s="42" t="n"/>
      <c r="C285" s="7" t="n"/>
      <c r="D285" s="23">
        <f>IF(C285="","",IF(ISNUMBER(SEARCH("tiktok",C285)),"TikTok",IF(OR(ISNUMBER(SEARCH("facebook",C285)),ISNUMBER(SEARCH("fb.watch",C285))),"Facebook",IF(OR(ISNUMBER(SEARCH("youtube",C285)),ISNUMBER(SEARCH("youtu.be",C285))),"YouTube",IF(ISNUMBER(SEARCH("instagram",C285)),"Instagram","Khác")))))</f>
        <v/>
      </c>
      <c r="E285" s="7" t="n"/>
      <c r="F285" s="7" t="n"/>
      <c r="G285" s="43" t="n"/>
      <c r="H285" s="7" t="n"/>
      <c r="I285" s="26" t="n"/>
      <c r="J285" s="7" t="n"/>
      <c r="K285" s="26" t="n"/>
      <c r="L285" s="7" t="n"/>
      <c r="M285" s="26" t="n"/>
    </row>
    <row r="286">
      <c r="A286" s="26" t="n"/>
      <c r="B286" s="42" t="n"/>
      <c r="C286" s="7" t="n"/>
      <c r="D286" s="23">
        <f>IF(C286="","",IF(ISNUMBER(SEARCH("tiktok",C286)),"TikTok",IF(OR(ISNUMBER(SEARCH("facebook",C286)),ISNUMBER(SEARCH("fb.watch",C286))),"Facebook",IF(OR(ISNUMBER(SEARCH("youtube",C286)),ISNUMBER(SEARCH("youtu.be",C286))),"YouTube",IF(ISNUMBER(SEARCH("instagram",C286)),"Instagram","Khác")))))</f>
        <v/>
      </c>
      <c r="E286" s="7" t="n"/>
      <c r="F286" s="7" t="n"/>
      <c r="G286" s="43" t="n"/>
      <c r="H286" s="7" t="n"/>
      <c r="I286" s="26" t="n"/>
      <c r="J286" s="7" t="n"/>
      <c r="K286" s="26" t="n"/>
      <c r="L286" s="7" t="n"/>
      <c r="M286" s="26" t="n"/>
    </row>
    <row r="287">
      <c r="A287" s="26" t="n"/>
      <c r="B287" s="42" t="n"/>
      <c r="C287" s="7" t="n"/>
      <c r="D287" s="23">
        <f>IF(C287="","",IF(ISNUMBER(SEARCH("tiktok",C287)),"TikTok",IF(OR(ISNUMBER(SEARCH("facebook",C287)),ISNUMBER(SEARCH("fb.watch",C287))),"Facebook",IF(OR(ISNUMBER(SEARCH("youtube",C287)),ISNUMBER(SEARCH("youtu.be",C287))),"YouTube",IF(ISNUMBER(SEARCH("instagram",C287)),"Instagram","Khác")))))</f>
        <v/>
      </c>
      <c r="E287" s="7" t="n"/>
      <c r="F287" s="7" t="n"/>
      <c r="G287" s="43" t="n"/>
      <c r="H287" s="7" t="n"/>
      <c r="I287" s="26" t="n"/>
      <c r="J287" s="7" t="n"/>
      <c r="K287" s="26" t="n"/>
      <c r="L287" s="7" t="n"/>
      <c r="M287" s="26" t="n"/>
    </row>
    <row r="288">
      <c r="A288" s="26" t="n"/>
      <c r="B288" s="42" t="n"/>
      <c r="C288" s="7" t="n"/>
      <c r="D288" s="23">
        <f>IF(C288="","",IF(ISNUMBER(SEARCH("tiktok",C288)),"TikTok",IF(OR(ISNUMBER(SEARCH("facebook",C288)),ISNUMBER(SEARCH("fb.watch",C288))),"Facebook",IF(OR(ISNUMBER(SEARCH("youtube",C288)),ISNUMBER(SEARCH("youtu.be",C288))),"YouTube",IF(ISNUMBER(SEARCH("instagram",C288)),"Instagram","Khác")))))</f>
        <v/>
      </c>
      <c r="E288" s="7" t="n"/>
      <c r="F288" s="7" t="n"/>
      <c r="G288" s="43" t="n"/>
      <c r="H288" s="7" t="n"/>
      <c r="I288" s="26" t="n"/>
      <c r="J288" s="7" t="n"/>
      <c r="K288" s="26" t="n"/>
      <c r="L288" s="7" t="n"/>
      <c r="M288" s="26" t="n"/>
    </row>
    <row r="289">
      <c r="A289" s="26" t="n"/>
      <c r="B289" s="42" t="n"/>
      <c r="C289" s="7" t="n"/>
      <c r="D289" s="23">
        <f>IF(C289="","",IF(ISNUMBER(SEARCH("tiktok",C289)),"TikTok",IF(OR(ISNUMBER(SEARCH("facebook",C289)),ISNUMBER(SEARCH("fb.watch",C289))),"Facebook",IF(OR(ISNUMBER(SEARCH("youtube",C289)),ISNUMBER(SEARCH("youtu.be",C289))),"YouTube",IF(ISNUMBER(SEARCH("instagram",C289)),"Instagram","Khác")))))</f>
        <v/>
      </c>
      <c r="E289" s="7" t="n"/>
      <c r="F289" s="7" t="n"/>
      <c r="G289" s="43" t="n"/>
      <c r="H289" s="7" t="n"/>
      <c r="I289" s="26" t="n"/>
      <c r="J289" s="7" t="n"/>
      <c r="K289" s="26" t="n"/>
      <c r="L289" s="7" t="n"/>
      <c r="M289" s="26" t="n"/>
    </row>
    <row r="290">
      <c r="A290" s="26" t="n"/>
      <c r="B290" s="42" t="n"/>
      <c r="C290" s="7" t="n"/>
      <c r="D290" s="23">
        <f>IF(C290="","",IF(ISNUMBER(SEARCH("tiktok",C290)),"TikTok",IF(OR(ISNUMBER(SEARCH("facebook",C290)),ISNUMBER(SEARCH("fb.watch",C290))),"Facebook",IF(OR(ISNUMBER(SEARCH("youtube",C290)),ISNUMBER(SEARCH("youtu.be",C290))),"YouTube",IF(ISNUMBER(SEARCH("instagram",C290)),"Instagram","Khác")))))</f>
        <v/>
      </c>
      <c r="E290" s="7" t="n"/>
      <c r="F290" s="7" t="n"/>
      <c r="G290" s="43" t="n"/>
      <c r="H290" s="7" t="n"/>
      <c r="I290" s="26" t="n"/>
      <c r="J290" s="7" t="n"/>
      <c r="K290" s="26" t="n"/>
      <c r="L290" s="7" t="n"/>
      <c r="M290" s="26" t="n"/>
    </row>
    <row r="291">
      <c r="A291" s="26" t="n"/>
      <c r="B291" s="42" t="n"/>
      <c r="C291" s="7" t="n"/>
      <c r="D291" s="23">
        <f>IF(C291="","",IF(ISNUMBER(SEARCH("tiktok",C291)),"TikTok",IF(OR(ISNUMBER(SEARCH("facebook",C291)),ISNUMBER(SEARCH("fb.watch",C291))),"Facebook",IF(OR(ISNUMBER(SEARCH("youtube",C291)),ISNUMBER(SEARCH("youtu.be",C291))),"YouTube",IF(ISNUMBER(SEARCH("instagram",C291)),"Instagram","Khác")))))</f>
        <v/>
      </c>
      <c r="E291" s="7" t="n"/>
      <c r="F291" s="7" t="n"/>
      <c r="G291" s="43" t="n"/>
      <c r="H291" s="7" t="n"/>
      <c r="I291" s="26" t="n"/>
      <c r="J291" s="7" t="n"/>
      <c r="K291" s="26" t="n"/>
      <c r="L291" s="7" t="n"/>
      <c r="M291" s="26" t="n"/>
    </row>
    <row r="292">
      <c r="A292" s="26" t="n"/>
      <c r="B292" s="42" t="n"/>
      <c r="C292" s="7" t="n"/>
      <c r="D292" s="23">
        <f>IF(C292="","",IF(ISNUMBER(SEARCH("tiktok",C292)),"TikTok",IF(OR(ISNUMBER(SEARCH("facebook",C292)),ISNUMBER(SEARCH("fb.watch",C292))),"Facebook",IF(OR(ISNUMBER(SEARCH("youtube",C292)),ISNUMBER(SEARCH("youtu.be",C292))),"YouTube",IF(ISNUMBER(SEARCH("instagram",C292)),"Instagram","Khác")))))</f>
        <v/>
      </c>
      <c r="E292" s="7" t="n"/>
      <c r="F292" s="7" t="n"/>
      <c r="G292" s="43" t="n"/>
      <c r="H292" s="7" t="n"/>
      <c r="I292" s="26" t="n"/>
      <c r="J292" s="7" t="n"/>
      <c r="K292" s="26" t="n"/>
      <c r="L292" s="7" t="n"/>
      <c r="M292" s="26" t="n"/>
    </row>
    <row r="293">
      <c r="A293" s="26" t="n"/>
      <c r="B293" s="42" t="n"/>
      <c r="C293" s="7" t="n"/>
      <c r="D293" s="23">
        <f>IF(C293="","",IF(ISNUMBER(SEARCH("tiktok",C293)),"TikTok",IF(OR(ISNUMBER(SEARCH("facebook",C293)),ISNUMBER(SEARCH("fb.watch",C293))),"Facebook",IF(OR(ISNUMBER(SEARCH("youtube",C293)),ISNUMBER(SEARCH("youtu.be",C293))),"YouTube",IF(ISNUMBER(SEARCH("instagram",C293)),"Instagram","Khác")))))</f>
        <v/>
      </c>
      <c r="E293" s="7" t="n"/>
      <c r="F293" s="7" t="n"/>
      <c r="G293" s="43" t="n"/>
      <c r="H293" s="7" t="n"/>
      <c r="I293" s="26" t="n"/>
      <c r="J293" s="7" t="n"/>
      <c r="K293" s="26" t="n"/>
      <c r="L293" s="7" t="n"/>
      <c r="M293" s="26" t="n"/>
    </row>
    <row r="294">
      <c r="A294" s="26" t="n"/>
      <c r="B294" s="42" t="n"/>
      <c r="C294" s="7" t="n"/>
      <c r="D294" s="23">
        <f>IF(C294="","",IF(ISNUMBER(SEARCH("tiktok",C294)),"TikTok",IF(OR(ISNUMBER(SEARCH("facebook",C294)),ISNUMBER(SEARCH("fb.watch",C294))),"Facebook",IF(OR(ISNUMBER(SEARCH("youtube",C294)),ISNUMBER(SEARCH("youtu.be",C294))),"YouTube",IF(ISNUMBER(SEARCH("instagram",C294)),"Instagram","Khác")))))</f>
        <v/>
      </c>
      <c r="E294" s="7" t="n"/>
      <c r="F294" s="7" t="n"/>
      <c r="G294" s="43" t="n"/>
      <c r="H294" s="7" t="n"/>
      <c r="I294" s="26" t="n"/>
      <c r="J294" s="7" t="n"/>
      <c r="K294" s="26" t="n"/>
      <c r="L294" s="7" t="n"/>
      <c r="M294" s="26" t="n"/>
    </row>
    <row r="295">
      <c r="A295" s="26" t="n"/>
      <c r="B295" s="42" t="n"/>
      <c r="C295" s="7" t="n"/>
      <c r="D295" s="23">
        <f>IF(C295="","",IF(ISNUMBER(SEARCH("tiktok",C295)),"TikTok",IF(OR(ISNUMBER(SEARCH("facebook",C295)),ISNUMBER(SEARCH("fb.watch",C295))),"Facebook",IF(OR(ISNUMBER(SEARCH("youtube",C295)),ISNUMBER(SEARCH("youtu.be",C295))),"YouTube",IF(ISNUMBER(SEARCH("instagram",C295)),"Instagram","Khác")))))</f>
        <v/>
      </c>
      <c r="E295" s="7" t="n"/>
      <c r="F295" s="7" t="n"/>
      <c r="G295" s="43" t="n"/>
      <c r="H295" s="7" t="n"/>
      <c r="I295" s="26" t="n"/>
      <c r="J295" s="7" t="n"/>
      <c r="K295" s="26" t="n"/>
      <c r="L295" s="7" t="n"/>
      <c r="M295" s="26" t="n"/>
    </row>
    <row r="296">
      <c r="A296" s="26" t="n"/>
      <c r="B296" s="42" t="n"/>
      <c r="C296" s="7" t="n"/>
      <c r="D296" s="23">
        <f>IF(C296="","",IF(ISNUMBER(SEARCH("tiktok",C296)),"TikTok",IF(OR(ISNUMBER(SEARCH("facebook",C296)),ISNUMBER(SEARCH("fb.watch",C296))),"Facebook",IF(OR(ISNUMBER(SEARCH("youtube",C296)),ISNUMBER(SEARCH("youtu.be",C296))),"YouTube",IF(ISNUMBER(SEARCH("instagram",C296)),"Instagram","Khác")))))</f>
        <v/>
      </c>
      <c r="E296" s="7" t="n"/>
      <c r="F296" s="7" t="n"/>
      <c r="G296" s="43" t="n"/>
      <c r="H296" s="7" t="n"/>
      <c r="I296" s="26" t="n"/>
      <c r="J296" s="7" t="n"/>
      <c r="K296" s="26" t="n"/>
      <c r="L296" s="7" t="n"/>
      <c r="M296" s="26" t="n"/>
    </row>
    <row r="297">
      <c r="A297" s="26" t="n"/>
      <c r="B297" s="42" t="n"/>
      <c r="C297" s="7" t="n"/>
      <c r="D297" s="23">
        <f>IF(C297="","",IF(ISNUMBER(SEARCH("tiktok",C297)),"TikTok",IF(OR(ISNUMBER(SEARCH("facebook",C297)),ISNUMBER(SEARCH("fb.watch",C297))),"Facebook",IF(OR(ISNUMBER(SEARCH("youtube",C297)),ISNUMBER(SEARCH("youtu.be",C297))),"YouTube",IF(ISNUMBER(SEARCH("instagram",C297)),"Instagram","Khác")))))</f>
        <v/>
      </c>
      <c r="E297" s="7" t="n"/>
      <c r="F297" s="7" t="n"/>
      <c r="G297" s="43" t="n"/>
      <c r="H297" s="7" t="n"/>
      <c r="I297" s="26" t="n"/>
      <c r="J297" s="7" t="n"/>
      <c r="K297" s="26" t="n"/>
      <c r="L297" s="7" t="n"/>
      <c r="M297" s="26" t="n"/>
    </row>
    <row r="298">
      <c r="A298" s="26" t="n"/>
      <c r="B298" s="42" t="n"/>
      <c r="C298" s="7" t="n"/>
      <c r="D298" s="23">
        <f>IF(C298="","",IF(ISNUMBER(SEARCH("tiktok",C298)),"TikTok",IF(OR(ISNUMBER(SEARCH("facebook",C298)),ISNUMBER(SEARCH("fb.watch",C298))),"Facebook",IF(OR(ISNUMBER(SEARCH("youtube",C298)),ISNUMBER(SEARCH("youtu.be",C298))),"YouTube",IF(ISNUMBER(SEARCH("instagram",C298)),"Instagram","Khác")))))</f>
        <v/>
      </c>
      <c r="E298" s="7" t="n"/>
      <c r="F298" s="7" t="n"/>
      <c r="G298" s="43" t="n"/>
      <c r="H298" s="7" t="n"/>
      <c r="I298" s="26" t="n"/>
      <c r="J298" s="7" t="n"/>
      <c r="K298" s="26" t="n"/>
      <c r="L298" s="7" t="n"/>
      <c r="M298" s="26" t="n"/>
    </row>
    <row r="299">
      <c r="A299" s="26" t="n"/>
      <c r="B299" s="42" t="n"/>
      <c r="C299" s="7" t="n"/>
      <c r="D299" s="23">
        <f>IF(C299="","",IF(ISNUMBER(SEARCH("tiktok",C299)),"TikTok",IF(OR(ISNUMBER(SEARCH("facebook",C299)),ISNUMBER(SEARCH("fb.watch",C299))),"Facebook",IF(OR(ISNUMBER(SEARCH("youtube",C299)),ISNUMBER(SEARCH("youtu.be",C299))),"YouTube",IF(ISNUMBER(SEARCH("instagram",C299)),"Instagram","Khác")))))</f>
        <v/>
      </c>
      <c r="E299" s="7" t="n"/>
      <c r="F299" s="7" t="n"/>
      <c r="G299" s="43" t="n"/>
      <c r="H299" s="7" t="n"/>
      <c r="I299" s="26" t="n"/>
      <c r="J299" s="7" t="n"/>
      <c r="K299" s="26" t="n"/>
      <c r="L299" s="7" t="n"/>
      <c r="M299" s="26" t="n"/>
    </row>
    <row r="300">
      <c r="A300" s="26" t="n"/>
      <c r="B300" s="42" t="n"/>
      <c r="C300" s="7" t="n"/>
      <c r="D300" s="23">
        <f>IF(C300="","",IF(ISNUMBER(SEARCH("tiktok",C300)),"TikTok",IF(OR(ISNUMBER(SEARCH("facebook",C300)),ISNUMBER(SEARCH("fb.watch",C300))),"Facebook",IF(OR(ISNUMBER(SEARCH("youtube",C300)),ISNUMBER(SEARCH("youtu.be",C300))),"YouTube",IF(ISNUMBER(SEARCH("instagram",C300)),"Instagram","Khác")))))</f>
        <v/>
      </c>
      <c r="E300" s="7" t="n"/>
      <c r="F300" s="7" t="n"/>
      <c r="G300" s="43" t="n"/>
      <c r="H300" s="7" t="n"/>
      <c r="I300" s="26" t="n"/>
      <c r="J300" s="7" t="n"/>
      <c r="K300" s="26" t="n"/>
      <c r="L300" s="7" t="n"/>
      <c r="M300" s="26" t="n"/>
    </row>
    <row r="301">
      <c r="A301" s="26" t="n"/>
      <c r="B301" s="42" t="n"/>
      <c r="C301" s="7" t="n"/>
      <c r="D301" s="23">
        <f>IF(C301="","",IF(ISNUMBER(SEARCH("tiktok",C301)),"TikTok",IF(OR(ISNUMBER(SEARCH("facebook",C301)),ISNUMBER(SEARCH("fb.watch",C301))),"Facebook",IF(OR(ISNUMBER(SEARCH("youtube",C301)),ISNUMBER(SEARCH("youtu.be",C301))),"YouTube",IF(ISNUMBER(SEARCH("instagram",C301)),"Instagram","Khác")))))</f>
        <v/>
      </c>
      <c r="E301" s="7" t="n"/>
      <c r="F301" s="7" t="n"/>
      <c r="G301" s="43" t="n"/>
      <c r="H301" s="7" t="n"/>
      <c r="I301" s="26" t="n"/>
      <c r="J301" s="7" t="n"/>
      <c r="K301" s="26" t="n"/>
      <c r="L301" s="7" t="n"/>
      <c r="M301" s="26" t="n"/>
    </row>
    <row r="302">
      <c r="A302" s="26" t="n"/>
      <c r="B302" s="42" t="n"/>
      <c r="C302" s="7" t="n"/>
      <c r="D302" s="23">
        <f>IF(C302="","",IF(ISNUMBER(SEARCH("tiktok",C302)),"TikTok",IF(OR(ISNUMBER(SEARCH("facebook",C302)),ISNUMBER(SEARCH("fb.watch",C302))),"Facebook",IF(OR(ISNUMBER(SEARCH("youtube",C302)),ISNUMBER(SEARCH("youtu.be",C302))),"YouTube",IF(ISNUMBER(SEARCH("instagram",C302)),"Instagram","Khác")))))</f>
        <v/>
      </c>
      <c r="E302" s="7" t="n"/>
      <c r="F302" s="7" t="n"/>
      <c r="G302" s="43" t="n"/>
      <c r="H302" s="7" t="n"/>
      <c r="I302" s="26" t="n"/>
      <c r="J302" s="7" t="n"/>
      <c r="K302" s="26" t="n"/>
      <c r="L302" s="7" t="n"/>
      <c r="M302" s="26" t="n"/>
    </row>
    <row r="303">
      <c r="A303" s="26" t="n"/>
      <c r="B303" s="42" t="n"/>
      <c r="C303" s="7" t="n"/>
      <c r="D303" s="23">
        <f>IF(C303="","",IF(ISNUMBER(SEARCH("tiktok",C303)),"TikTok",IF(OR(ISNUMBER(SEARCH("facebook",C303)),ISNUMBER(SEARCH("fb.watch",C303))),"Facebook",IF(OR(ISNUMBER(SEARCH("youtube",C303)),ISNUMBER(SEARCH("youtu.be",C303))),"YouTube",IF(ISNUMBER(SEARCH("instagram",C303)),"Instagram","Khác")))))</f>
        <v/>
      </c>
      <c r="E303" s="7" t="n"/>
      <c r="F303" s="7" t="n"/>
      <c r="G303" s="43" t="n"/>
      <c r="H303" s="7" t="n"/>
      <c r="I303" s="26" t="n"/>
      <c r="J303" s="7" t="n"/>
      <c r="K303" s="26" t="n"/>
      <c r="L303" s="7" t="n"/>
      <c r="M303" s="26" t="n"/>
    </row>
    <row r="304">
      <c r="A304" s="26" t="n"/>
      <c r="B304" s="42" t="n"/>
      <c r="C304" s="7" t="n"/>
      <c r="D304" s="23">
        <f>IF(C304="","",IF(ISNUMBER(SEARCH("tiktok",C304)),"TikTok",IF(OR(ISNUMBER(SEARCH("facebook",C304)),ISNUMBER(SEARCH("fb.watch",C304))),"Facebook",IF(OR(ISNUMBER(SEARCH("youtube",C304)),ISNUMBER(SEARCH("youtu.be",C304))),"YouTube",IF(ISNUMBER(SEARCH("instagram",C304)),"Instagram","Khác")))))</f>
        <v/>
      </c>
      <c r="E304" s="7" t="n"/>
      <c r="F304" s="7" t="n"/>
      <c r="G304" s="43" t="n"/>
      <c r="H304" s="7" t="n"/>
      <c r="I304" s="26" t="n"/>
      <c r="J304" s="7" t="n"/>
      <c r="K304" s="26" t="n"/>
      <c r="L304" s="7" t="n"/>
      <c r="M304" s="26" t="n"/>
    </row>
  </sheetData>
  <autoFilter ref="A4:M304"/>
  <conditionalFormatting sqref="M5:M304">
    <cfRule type="cellIs" priority="1" operator="equal" dxfId="3">
      <formula>"Mới"</formula>
    </cfRule>
    <cfRule type="cellIs" priority="2" operator="equal" dxfId="5">
      <formula>"Đã phân tích"</formula>
    </cfRule>
    <cfRule type="cellIs" priority="3" operator="equal" dxfId="2">
      <formula>"Đã thành kịch bản"</formula>
    </cfRule>
    <cfRule type="cellIs" priority="4" operator="equal" dxfId="9">
      <formula>"Bỏ qua"</formula>
    </cfRule>
  </conditionalFormatting>
  <dataValidations count="3">
    <dataValidation sqref="F5:F304" showDropDown="0" showInputMessage="0" showErrorMessage="0" allowBlank="1" type="list">
      <formula1>"Video viral,Kênh tham khảo,Hook hay,Ý tưởng,Sản phẩm bán chạy,Đối thủ"</formula1>
    </dataValidation>
    <dataValidation sqref="I5:I304" showDropDown="0" showInputMessage="0" showErrorMessage="0" allowBlank="1" type="list">
      <formula1>"T1,T2,T3,T4,T5,Tất cả"</formula1>
    </dataValidation>
    <dataValidation sqref="M5:M304" showDropDown="0" showInputMessage="0" showErrorMessage="0" allowBlank="1" type="list">
      <formula1>"Mới,Đã phân tích,Đã thành kịch bản,Bỏ qua"</formula1>
    </dataValidation>
  </dataValidations>
  <pageMargins left="0.75" right="0.75" top="1" bottom="1" header="0.5" footer="0.5"/>
</worksheet>
</file>

<file path=xl/worksheets/sheet11.xml><?xml version="1.0" encoding="utf-8"?>
<worksheet xmlns="http://schemas.openxmlformats.org/spreadsheetml/2006/main">
  <sheetPr>
    <tabColor rgb="0016A34A"/>
    <outlinePr summaryBelow="1" summaryRight="1"/>
    <pageSetUpPr/>
  </sheetPr>
  <dimension ref="A1:L8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10" customWidth="1" min="3" max="3"/>
    <col width="10" customWidth="1" min="4" max="4"/>
    <col width="11" customWidth="1" min="5" max="5"/>
    <col width="12" customWidth="1" min="6" max="6"/>
    <col width="10" customWidth="1" min="7" max="7"/>
    <col width="8" customWidth="1" min="8" max="8"/>
    <col width="14" customWidth="1" min="9" max="9"/>
    <col width="10" customWidth="1" min="10" max="10"/>
    <col width="10" customWidth="1" min="11" max="11"/>
    <col width="34" customWidth="1" min="12" max="12"/>
  </cols>
  <sheetData>
    <row r="1">
      <c r="A1" s="1" t="inlineStr">
        <is>
          <t>THEO DÕI SỐ LIỆU HẰNG NGÀY</t>
        </is>
      </c>
    </row>
    <row r="2">
      <c r="A2" s="2" t="inlineStr">
        <is>
          <t>R4 nhập mỗi sáng trước 10:00 (ô xanh). Ví dụ: 19/10 · Kế hoạch 5 · Đã đăng 5 · View 25.000 · Click 120 · Đơn 3 · Hoa hồng 45.000. Đơn theo từng video xem ở báo cáo Shopee lọc Sub_id.</t>
        </is>
      </c>
    </row>
    <row r="4" ht="30" customHeight="1">
      <c r="A4" s="13" t="inlineStr">
        <is>
          <t>Ngày</t>
        </is>
      </c>
      <c r="B4" s="13" t="inlineStr">
        <is>
          <t>Tuần</t>
        </is>
      </c>
      <c r="C4" s="13" t="inlineStr">
        <is>
          <t>Kế hoạch</t>
        </is>
      </c>
      <c r="D4" s="13" t="inlineStr">
        <is>
          <t>Đã đăng</t>
        </is>
      </c>
      <c r="E4" s="13" t="inlineStr">
        <is>
          <t>% hoàn thành</t>
        </is>
      </c>
      <c r="F4" s="13" t="inlineStr">
        <is>
          <t>View</t>
        </is>
      </c>
      <c r="G4" s="13" t="inlineStr">
        <is>
          <t>Click</t>
        </is>
      </c>
      <c r="H4" s="13" t="inlineStr">
        <is>
          <t>Đơn</t>
        </is>
      </c>
      <c r="I4" s="13" t="inlineStr">
        <is>
          <t>Hoa hồng (đ)</t>
        </is>
      </c>
      <c r="J4" s="13" t="inlineStr">
        <is>
          <t>Click/View</t>
        </is>
      </c>
      <c r="K4" s="13" t="inlineStr">
        <is>
          <t>Đơn/Click</t>
        </is>
      </c>
      <c r="L4" s="13" t="inlineStr">
        <is>
          <t>Ghi chú</t>
        </is>
      </c>
    </row>
    <row r="5">
      <c r="A5" s="25" t="n">
        <v>46314</v>
      </c>
      <c r="B5" s="14">
        <f>IFERROR(INDEX(LO_TRINH!$A$4:$A$15,MATCH(A5,LO_TRINH!$B$4:$B$15,1)),"")</f>
        <v/>
      </c>
      <c r="C5" s="14">
        <f>IFERROR(INDEX(LO_TRINH!$I$4:$I$15,MATCH(A5,LO_TRINH!$B$4:$B$15,1)),0)</f>
        <v/>
      </c>
      <c r="D5" s="43" t="n"/>
      <c r="E5" s="11">
        <f>IF(OR(C5=0,D5=""),"",D5/C5)</f>
        <v/>
      </c>
      <c r="F5" s="43" t="n"/>
      <c r="G5" s="43" t="n"/>
      <c r="H5" s="43" t="n"/>
      <c r="I5" s="43" t="n"/>
      <c r="J5" s="15">
        <f>IF(OR(F5="",F5=0),"",G5/F5)</f>
        <v/>
      </c>
      <c r="K5" s="37">
        <f>IF(OR(G5="",G5=0),"",H5/G5)</f>
        <v/>
      </c>
      <c r="L5" s="7" t="n"/>
    </row>
    <row r="6">
      <c r="A6" s="25" t="n">
        <v>46315</v>
      </c>
      <c r="B6" s="14">
        <f>IFERROR(INDEX(LO_TRINH!$A$4:$A$15,MATCH(A6,LO_TRINH!$B$4:$B$15,1)),"")</f>
        <v/>
      </c>
      <c r="C6" s="14">
        <f>IFERROR(INDEX(LO_TRINH!$I$4:$I$15,MATCH(A6,LO_TRINH!$B$4:$B$15,1)),0)</f>
        <v/>
      </c>
      <c r="D6" s="43" t="n"/>
      <c r="E6" s="11">
        <f>IF(OR(C6=0,D6=""),"",D6/C6)</f>
        <v/>
      </c>
      <c r="F6" s="43" t="n"/>
      <c r="G6" s="43" t="n"/>
      <c r="H6" s="43" t="n"/>
      <c r="I6" s="43" t="n"/>
      <c r="J6" s="15">
        <f>IF(OR(F6="",F6=0),"",G6/F6)</f>
        <v/>
      </c>
      <c r="K6" s="37">
        <f>IF(OR(G6="",G6=0),"",H6/G6)</f>
        <v/>
      </c>
      <c r="L6" s="7" t="n"/>
    </row>
    <row r="7">
      <c r="A7" s="25" t="n">
        <v>46316</v>
      </c>
      <c r="B7" s="14">
        <f>IFERROR(INDEX(LO_TRINH!$A$4:$A$15,MATCH(A7,LO_TRINH!$B$4:$B$15,1)),"")</f>
        <v/>
      </c>
      <c r="C7" s="14">
        <f>IFERROR(INDEX(LO_TRINH!$I$4:$I$15,MATCH(A7,LO_TRINH!$B$4:$B$15,1)),0)</f>
        <v/>
      </c>
      <c r="D7" s="43" t="n"/>
      <c r="E7" s="11">
        <f>IF(OR(C7=0,D7=""),"",D7/C7)</f>
        <v/>
      </c>
      <c r="F7" s="43" t="n"/>
      <c r="G7" s="43" t="n"/>
      <c r="H7" s="43" t="n"/>
      <c r="I7" s="43" t="n"/>
      <c r="J7" s="15">
        <f>IF(OR(F7="",F7=0),"",G7/F7)</f>
        <v/>
      </c>
      <c r="K7" s="37">
        <f>IF(OR(G7="",G7=0),"",H7/G7)</f>
        <v/>
      </c>
      <c r="L7" s="7" t="n"/>
    </row>
    <row r="8">
      <c r="A8" s="25" t="n">
        <v>46317</v>
      </c>
      <c r="B8" s="14">
        <f>IFERROR(INDEX(LO_TRINH!$A$4:$A$15,MATCH(A8,LO_TRINH!$B$4:$B$15,1)),"")</f>
        <v/>
      </c>
      <c r="C8" s="14">
        <f>IFERROR(INDEX(LO_TRINH!$I$4:$I$15,MATCH(A8,LO_TRINH!$B$4:$B$15,1)),0)</f>
        <v/>
      </c>
      <c r="D8" s="43" t="n"/>
      <c r="E8" s="11">
        <f>IF(OR(C8=0,D8=""),"",D8/C8)</f>
        <v/>
      </c>
      <c r="F8" s="43" t="n"/>
      <c r="G8" s="43" t="n"/>
      <c r="H8" s="43" t="n"/>
      <c r="I8" s="43" t="n"/>
      <c r="J8" s="15">
        <f>IF(OR(F8="",F8=0),"",G8/F8)</f>
        <v/>
      </c>
      <c r="K8" s="37">
        <f>IF(OR(G8="",G8=0),"",H8/G8)</f>
        <v/>
      </c>
      <c r="L8" s="7" t="n"/>
    </row>
    <row r="9">
      <c r="A9" s="25" t="n">
        <v>46318</v>
      </c>
      <c r="B9" s="14">
        <f>IFERROR(INDEX(LO_TRINH!$A$4:$A$15,MATCH(A9,LO_TRINH!$B$4:$B$15,1)),"")</f>
        <v/>
      </c>
      <c r="C9" s="14">
        <f>IFERROR(INDEX(LO_TRINH!$I$4:$I$15,MATCH(A9,LO_TRINH!$B$4:$B$15,1)),0)</f>
        <v/>
      </c>
      <c r="D9" s="43" t="n"/>
      <c r="E9" s="11">
        <f>IF(OR(C9=0,D9=""),"",D9/C9)</f>
        <v/>
      </c>
      <c r="F9" s="43" t="n"/>
      <c r="G9" s="43" t="n"/>
      <c r="H9" s="43" t="n"/>
      <c r="I9" s="43" t="n"/>
      <c r="J9" s="15">
        <f>IF(OR(F9="",F9=0),"",G9/F9)</f>
        <v/>
      </c>
      <c r="K9" s="37">
        <f>IF(OR(G9="",G9=0),"",H9/G9)</f>
        <v/>
      </c>
      <c r="L9" s="7" t="n"/>
    </row>
    <row r="10">
      <c r="A10" s="25" t="n">
        <v>46319</v>
      </c>
      <c r="B10" s="14">
        <f>IFERROR(INDEX(LO_TRINH!$A$4:$A$15,MATCH(A10,LO_TRINH!$B$4:$B$15,1)),"")</f>
        <v/>
      </c>
      <c r="C10" s="14">
        <f>IFERROR(INDEX(LO_TRINH!$I$4:$I$15,MATCH(A10,LO_TRINH!$B$4:$B$15,1)),0)</f>
        <v/>
      </c>
      <c r="D10" s="43" t="n"/>
      <c r="E10" s="11">
        <f>IF(OR(C10=0,D10=""),"",D10/C10)</f>
        <v/>
      </c>
      <c r="F10" s="43" t="n"/>
      <c r="G10" s="43" t="n"/>
      <c r="H10" s="43" t="n"/>
      <c r="I10" s="43" t="n"/>
      <c r="J10" s="15">
        <f>IF(OR(F10="",F10=0),"",G10/F10)</f>
        <v/>
      </c>
      <c r="K10" s="37">
        <f>IF(OR(G10="",G10=0),"",H10/G10)</f>
        <v/>
      </c>
      <c r="L10" s="7" t="n"/>
    </row>
    <row r="11">
      <c r="A11" s="25" t="n">
        <v>46320</v>
      </c>
      <c r="B11" s="14">
        <f>IFERROR(INDEX(LO_TRINH!$A$4:$A$15,MATCH(A11,LO_TRINH!$B$4:$B$15,1)),"")</f>
        <v/>
      </c>
      <c r="C11" s="14">
        <f>IFERROR(INDEX(LO_TRINH!$I$4:$I$15,MATCH(A11,LO_TRINH!$B$4:$B$15,1)),0)</f>
        <v/>
      </c>
      <c r="D11" s="43" t="n"/>
      <c r="E11" s="11">
        <f>IF(OR(C11=0,D11=""),"",D11/C11)</f>
        <v/>
      </c>
      <c r="F11" s="43" t="n"/>
      <c r="G11" s="43" t="n"/>
      <c r="H11" s="43" t="n"/>
      <c r="I11" s="43" t="n"/>
      <c r="J11" s="15">
        <f>IF(OR(F11="",F11=0),"",G11/F11)</f>
        <v/>
      </c>
      <c r="K11" s="37">
        <f>IF(OR(G11="",G11=0),"",H11/G11)</f>
        <v/>
      </c>
      <c r="L11" s="7" t="n"/>
    </row>
    <row r="12">
      <c r="A12" s="25" t="n">
        <v>46321</v>
      </c>
      <c r="B12" s="14">
        <f>IFERROR(INDEX(LO_TRINH!$A$4:$A$15,MATCH(A12,LO_TRINH!$B$4:$B$15,1)),"")</f>
        <v/>
      </c>
      <c r="C12" s="14">
        <f>IFERROR(INDEX(LO_TRINH!$I$4:$I$15,MATCH(A12,LO_TRINH!$B$4:$B$15,1)),0)</f>
        <v/>
      </c>
      <c r="D12" s="43" t="n"/>
      <c r="E12" s="11">
        <f>IF(OR(C12=0,D12=""),"",D12/C12)</f>
        <v/>
      </c>
      <c r="F12" s="43" t="n"/>
      <c r="G12" s="43" t="n"/>
      <c r="H12" s="43" t="n"/>
      <c r="I12" s="43" t="n"/>
      <c r="J12" s="15">
        <f>IF(OR(F12="",F12=0),"",G12/F12)</f>
        <v/>
      </c>
      <c r="K12" s="37">
        <f>IF(OR(G12="",G12=0),"",H12/G12)</f>
        <v/>
      </c>
      <c r="L12" s="7" t="n"/>
    </row>
    <row r="13">
      <c r="A13" s="25" t="n">
        <v>46322</v>
      </c>
      <c r="B13" s="14">
        <f>IFERROR(INDEX(LO_TRINH!$A$4:$A$15,MATCH(A13,LO_TRINH!$B$4:$B$15,1)),"")</f>
        <v/>
      </c>
      <c r="C13" s="14">
        <f>IFERROR(INDEX(LO_TRINH!$I$4:$I$15,MATCH(A13,LO_TRINH!$B$4:$B$15,1)),0)</f>
        <v/>
      </c>
      <c r="D13" s="43" t="n"/>
      <c r="E13" s="11">
        <f>IF(OR(C13=0,D13=""),"",D13/C13)</f>
        <v/>
      </c>
      <c r="F13" s="43" t="n"/>
      <c r="G13" s="43" t="n"/>
      <c r="H13" s="43" t="n"/>
      <c r="I13" s="43" t="n"/>
      <c r="J13" s="15">
        <f>IF(OR(F13="",F13=0),"",G13/F13)</f>
        <v/>
      </c>
      <c r="K13" s="37">
        <f>IF(OR(G13="",G13=0),"",H13/G13)</f>
        <v/>
      </c>
      <c r="L13" s="7" t="n"/>
    </row>
    <row r="14">
      <c r="A14" s="25" t="n">
        <v>46323</v>
      </c>
      <c r="B14" s="14">
        <f>IFERROR(INDEX(LO_TRINH!$A$4:$A$15,MATCH(A14,LO_TRINH!$B$4:$B$15,1)),"")</f>
        <v/>
      </c>
      <c r="C14" s="14">
        <f>IFERROR(INDEX(LO_TRINH!$I$4:$I$15,MATCH(A14,LO_TRINH!$B$4:$B$15,1)),0)</f>
        <v/>
      </c>
      <c r="D14" s="43" t="n"/>
      <c r="E14" s="11">
        <f>IF(OR(C14=0,D14=""),"",D14/C14)</f>
        <v/>
      </c>
      <c r="F14" s="43" t="n"/>
      <c r="G14" s="43" t="n"/>
      <c r="H14" s="43" t="n"/>
      <c r="I14" s="43" t="n"/>
      <c r="J14" s="15">
        <f>IF(OR(F14="",F14=0),"",G14/F14)</f>
        <v/>
      </c>
      <c r="K14" s="37">
        <f>IF(OR(G14="",G14=0),"",H14/G14)</f>
        <v/>
      </c>
      <c r="L14" s="7" t="n"/>
    </row>
    <row r="15">
      <c r="A15" s="25" t="n">
        <v>46324</v>
      </c>
      <c r="B15" s="14">
        <f>IFERROR(INDEX(LO_TRINH!$A$4:$A$15,MATCH(A15,LO_TRINH!$B$4:$B$15,1)),"")</f>
        <v/>
      </c>
      <c r="C15" s="14">
        <f>IFERROR(INDEX(LO_TRINH!$I$4:$I$15,MATCH(A15,LO_TRINH!$B$4:$B$15,1)),0)</f>
        <v/>
      </c>
      <c r="D15" s="43" t="n"/>
      <c r="E15" s="11">
        <f>IF(OR(C15=0,D15=""),"",D15/C15)</f>
        <v/>
      </c>
      <c r="F15" s="43" t="n"/>
      <c r="G15" s="43" t="n"/>
      <c r="H15" s="43" t="n"/>
      <c r="I15" s="43" t="n"/>
      <c r="J15" s="15">
        <f>IF(OR(F15="",F15=0),"",G15/F15)</f>
        <v/>
      </c>
      <c r="K15" s="37">
        <f>IF(OR(G15="",G15=0),"",H15/G15)</f>
        <v/>
      </c>
      <c r="L15" s="7" t="n"/>
    </row>
    <row r="16">
      <c r="A16" s="25" t="n">
        <v>46325</v>
      </c>
      <c r="B16" s="14">
        <f>IFERROR(INDEX(LO_TRINH!$A$4:$A$15,MATCH(A16,LO_TRINH!$B$4:$B$15,1)),"")</f>
        <v/>
      </c>
      <c r="C16" s="14">
        <f>IFERROR(INDEX(LO_TRINH!$I$4:$I$15,MATCH(A16,LO_TRINH!$B$4:$B$15,1)),0)</f>
        <v/>
      </c>
      <c r="D16" s="43" t="n"/>
      <c r="E16" s="11">
        <f>IF(OR(C16=0,D16=""),"",D16/C16)</f>
        <v/>
      </c>
      <c r="F16" s="43" t="n"/>
      <c r="G16" s="43" t="n"/>
      <c r="H16" s="43" t="n"/>
      <c r="I16" s="43" t="n"/>
      <c r="J16" s="15">
        <f>IF(OR(F16="",F16=0),"",G16/F16)</f>
        <v/>
      </c>
      <c r="K16" s="37">
        <f>IF(OR(G16="",G16=0),"",H16/G16)</f>
        <v/>
      </c>
      <c r="L16" s="7" t="n"/>
    </row>
    <row r="17">
      <c r="A17" s="25" t="n">
        <v>46326</v>
      </c>
      <c r="B17" s="14">
        <f>IFERROR(INDEX(LO_TRINH!$A$4:$A$15,MATCH(A17,LO_TRINH!$B$4:$B$15,1)),"")</f>
        <v/>
      </c>
      <c r="C17" s="14">
        <f>IFERROR(INDEX(LO_TRINH!$I$4:$I$15,MATCH(A17,LO_TRINH!$B$4:$B$15,1)),0)</f>
        <v/>
      </c>
      <c r="D17" s="43" t="n"/>
      <c r="E17" s="11">
        <f>IF(OR(C17=0,D17=""),"",D17/C17)</f>
        <v/>
      </c>
      <c r="F17" s="43" t="n"/>
      <c r="G17" s="43" t="n"/>
      <c r="H17" s="43" t="n"/>
      <c r="I17" s="43" t="n"/>
      <c r="J17" s="15">
        <f>IF(OR(F17="",F17=0),"",G17/F17)</f>
        <v/>
      </c>
      <c r="K17" s="37">
        <f>IF(OR(G17="",G17=0),"",H17/G17)</f>
        <v/>
      </c>
      <c r="L17" s="7" t="n"/>
    </row>
    <row r="18">
      <c r="A18" s="25" t="n">
        <v>46327</v>
      </c>
      <c r="B18" s="14">
        <f>IFERROR(INDEX(LO_TRINH!$A$4:$A$15,MATCH(A18,LO_TRINH!$B$4:$B$15,1)),"")</f>
        <v/>
      </c>
      <c r="C18" s="14">
        <f>IFERROR(INDEX(LO_TRINH!$I$4:$I$15,MATCH(A18,LO_TRINH!$B$4:$B$15,1)),0)</f>
        <v/>
      </c>
      <c r="D18" s="43" t="n"/>
      <c r="E18" s="11">
        <f>IF(OR(C18=0,D18=""),"",D18/C18)</f>
        <v/>
      </c>
      <c r="F18" s="43" t="n"/>
      <c r="G18" s="43" t="n"/>
      <c r="H18" s="43" t="n"/>
      <c r="I18" s="43" t="n"/>
      <c r="J18" s="15">
        <f>IF(OR(F18="",F18=0),"",G18/F18)</f>
        <v/>
      </c>
      <c r="K18" s="37">
        <f>IF(OR(G18="",G18=0),"",H18/G18)</f>
        <v/>
      </c>
      <c r="L18" s="7" t="n"/>
    </row>
    <row r="19">
      <c r="A19" s="25" t="n">
        <v>46328</v>
      </c>
      <c r="B19" s="14">
        <f>IFERROR(INDEX(LO_TRINH!$A$4:$A$15,MATCH(A19,LO_TRINH!$B$4:$B$15,1)),"")</f>
        <v/>
      </c>
      <c r="C19" s="14">
        <f>IFERROR(INDEX(LO_TRINH!$I$4:$I$15,MATCH(A19,LO_TRINH!$B$4:$B$15,1)),0)</f>
        <v/>
      </c>
      <c r="D19" s="43" t="n"/>
      <c r="E19" s="11">
        <f>IF(OR(C19=0,D19=""),"",D19/C19)</f>
        <v/>
      </c>
      <c r="F19" s="43" t="n"/>
      <c r="G19" s="43" t="n"/>
      <c r="H19" s="43" t="n"/>
      <c r="I19" s="43" t="n"/>
      <c r="J19" s="15">
        <f>IF(OR(F19="",F19=0),"",G19/F19)</f>
        <v/>
      </c>
      <c r="K19" s="37">
        <f>IF(OR(G19="",G19=0),"",H19/G19)</f>
        <v/>
      </c>
      <c r="L19" s="7" t="n"/>
    </row>
    <row r="20">
      <c r="A20" s="25" t="n">
        <v>46329</v>
      </c>
      <c r="B20" s="14">
        <f>IFERROR(INDEX(LO_TRINH!$A$4:$A$15,MATCH(A20,LO_TRINH!$B$4:$B$15,1)),"")</f>
        <v/>
      </c>
      <c r="C20" s="14">
        <f>IFERROR(INDEX(LO_TRINH!$I$4:$I$15,MATCH(A20,LO_TRINH!$B$4:$B$15,1)),0)</f>
        <v/>
      </c>
      <c r="D20" s="43" t="n"/>
      <c r="E20" s="11">
        <f>IF(OR(C20=0,D20=""),"",D20/C20)</f>
        <v/>
      </c>
      <c r="F20" s="43" t="n"/>
      <c r="G20" s="43" t="n"/>
      <c r="H20" s="43" t="n"/>
      <c r="I20" s="43" t="n"/>
      <c r="J20" s="15">
        <f>IF(OR(F20="",F20=0),"",G20/F20)</f>
        <v/>
      </c>
      <c r="K20" s="37">
        <f>IF(OR(G20="",G20=0),"",H20/G20)</f>
        <v/>
      </c>
      <c r="L20" s="7" t="n"/>
    </row>
    <row r="21">
      <c r="A21" s="25" t="n">
        <v>46330</v>
      </c>
      <c r="B21" s="14">
        <f>IFERROR(INDEX(LO_TRINH!$A$4:$A$15,MATCH(A21,LO_TRINH!$B$4:$B$15,1)),"")</f>
        <v/>
      </c>
      <c r="C21" s="14">
        <f>IFERROR(INDEX(LO_TRINH!$I$4:$I$15,MATCH(A21,LO_TRINH!$B$4:$B$15,1)),0)</f>
        <v/>
      </c>
      <c r="D21" s="43" t="n"/>
      <c r="E21" s="11">
        <f>IF(OR(C21=0,D21=""),"",D21/C21)</f>
        <v/>
      </c>
      <c r="F21" s="43" t="n"/>
      <c r="G21" s="43" t="n"/>
      <c r="H21" s="43" t="n"/>
      <c r="I21" s="43" t="n"/>
      <c r="J21" s="15">
        <f>IF(OR(F21="",F21=0),"",G21/F21)</f>
        <v/>
      </c>
      <c r="K21" s="37">
        <f>IF(OR(G21="",G21=0),"",H21/G21)</f>
        <v/>
      </c>
      <c r="L21" s="7" t="n"/>
    </row>
    <row r="22">
      <c r="A22" s="25" t="n">
        <v>46331</v>
      </c>
      <c r="B22" s="14">
        <f>IFERROR(INDEX(LO_TRINH!$A$4:$A$15,MATCH(A22,LO_TRINH!$B$4:$B$15,1)),"")</f>
        <v/>
      </c>
      <c r="C22" s="14">
        <f>IFERROR(INDEX(LO_TRINH!$I$4:$I$15,MATCH(A22,LO_TRINH!$B$4:$B$15,1)),0)</f>
        <v/>
      </c>
      <c r="D22" s="43" t="n"/>
      <c r="E22" s="11">
        <f>IF(OR(C22=0,D22=""),"",D22/C22)</f>
        <v/>
      </c>
      <c r="F22" s="43" t="n"/>
      <c r="G22" s="43" t="n"/>
      <c r="H22" s="43" t="n"/>
      <c r="I22" s="43" t="n"/>
      <c r="J22" s="15">
        <f>IF(OR(F22="",F22=0),"",G22/F22)</f>
        <v/>
      </c>
      <c r="K22" s="37">
        <f>IF(OR(G22="",G22=0),"",H22/G22)</f>
        <v/>
      </c>
      <c r="L22" s="7" t="n"/>
    </row>
    <row r="23">
      <c r="A23" s="25" t="n">
        <v>46332</v>
      </c>
      <c r="B23" s="14">
        <f>IFERROR(INDEX(LO_TRINH!$A$4:$A$15,MATCH(A23,LO_TRINH!$B$4:$B$15,1)),"")</f>
        <v/>
      </c>
      <c r="C23" s="14">
        <f>IFERROR(INDEX(LO_TRINH!$I$4:$I$15,MATCH(A23,LO_TRINH!$B$4:$B$15,1)),0)</f>
        <v/>
      </c>
      <c r="D23" s="43" t="n"/>
      <c r="E23" s="11">
        <f>IF(OR(C23=0,D23=""),"",D23/C23)</f>
        <v/>
      </c>
      <c r="F23" s="43" t="n"/>
      <c r="G23" s="43" t="n"/>
      <c r="H23" s="43" t="n"/>
      <c r="I23" s="43" t="n"/>
      <c r="J23" s="15">
        <f>IF(OR(F23="",F23=0),"",G23/F23)</f>
        <v/>
      </c>
      <c r="K23" s="37">
        <f>IF(OR(G23="",G23=0),"",H23/G23)</f>
        <v/>
      </c>
      <c r="L23" s="7" t="n"/>
    </row>
    <row r="24">
      <c r="A24" s="25" t="n">
        <v>46333</v>
      </c>
      <c r="B24" s="14">
        <f>IFERROR(INDEX(LO_TRINH!$A$4:$A$15,MATCH(A24,LO_TRINH!$B$4:$B$15,1)),"")</f>
        <v/>
      </c>
      <c r="C24" s="14">
        <f>IFERROR(INDEX(LO_TRINH!$I$4:$I$15,MATCH(A24,LO_TRINH!$B$4:$B$15,1)),0)</f>
        <v/>
      </c>
      <c r="D24" s="43" t="n"/>
      <c r="E24" s="11">
        <f>IF(OR(C24=0,D24=""),"",D24/C24)</f>
        <v/>
      </c>
      <c r="F24" s="43" t="n"/>
      <c r="G24" s="43" t="n"/>
      <c r="H24" s="43" t="n"/>
      <c r="I24" s="43" t="n"/>
      <c r="J24" s="15">
        <f>IF(OR(F24="",F24=0),"",G24/F24)</f>
        <v/>
      </c>
      <c r="K24" s="37">
        <f>IF(OR(G24="",G24=0),"",H24/G24)</f>
        <v/>
      </c>
      <c r="L24" s="7" t="n"/>
    </row>
    <row r="25">
      <c r="A25" s="25" t="n">
        <v>46334</v>
      </c>
      <c r="B25" s="14">
        <f>IFERROR(INDEX(LO_TRINH!$A$4:$A$15,MATCH(A25,LO_TRINH!$B$4:$B$15,1)),"")</f>
        <v/>
      </c>
      <c r="C25" s="14">
        <f>IFERROR(INDEX(LO_TRINH!$I$4:$I$15,MATCH(A25,LO_TRINH!$B$4:$B$15,1)),0)</f>
        <v/>
      </c>
      <c r="D25" s="43" t="n"/>
      <c r="E25" s="11">
        <f>IF(OR(C25=0,D25=""),"",D25/C25)</f>
        <v/>
      </c>
      <c r="F25" s="43" t="n"/>
      <c r="G25" s="43" t="n"/>
      <c r="H25" s="43" t="n"/>
      <c r="I25" s="43" t="n"/>
      <c r="J25" s="15">
        <f>IF(OR(F25="",F25=0),"",G25/F25)</f>
        <v/>
      </c>
      <c r="K25" s="37">
        <f>IF(OR(G25="",G25=0),"",H25/G25)</f>
        <v/>
      </c>
      <c r="L25" s="7" t="n"/>
    </row>
    <row r="26">
      <c r="A26" s="25" t="n">
        <v>46335</v>
      </c>
      <c r="B26" s="14">
        <f>IFERROR(INDEX(LO_TRINH!$A$4:$A$15,MATCH(A26,LO_TRINH!$B$4:$B$15,1)),"")</f>
        <v/>
      </c>
      <c r="C26" s="14">
        <f>IFERROR(INDEX(LO_TRINH!$I$4:$I$15,MATCH(A26,LO_TRINH!$B$4:$B$15,1)),0)</f>
        <v/>
      </c>
      <c r="D26" s="43" t="n"/>
      <c r="E26" s="11">
        <f>IF(OR(C26=0,D26=""),"",D26/C26)</f>
        <v/>
      </c>
      <c r="F26" s="43" t="n"/>
      <c r="G26" s="43" t="n"/>
      <c r="H26" s="43" t="n"/>
      <c r="I26" s="43" t="n"/>
      <c r="J26" s="15">
        <f>IF(OR(F26="",F26=0),"",G26/F26)</f>
        <v/>
      </c>
      <c r="K26" s="37">
        <f>IF(OR(G26="",G26=0),"",H26/G26)</f>
        <v/>
      </c>
      <c r="L26" s="7" t="n"/>
    </row>
    <row r="27">
      <c r="A27" s="25" t="n">
        <v>46336</v>
      </c>
      <c r="B27" s="14">
        <f>IFERROR(INDEX(LO_TRINH!$A$4:$A$15,MATCH(A27,LO_TRINH!$B$4:$B$15,1)),"")</f>
        <v/>
      </c>
      <c r="C27" s="14">
        <f>IFERROR(INDEX(LO_TRINH!$I$4:$I$15,MATCH(A27,LO_TRINH!$B$4:$B$15,1)),0)</f>
        <v/>
      </c>
      <c r="D27" s="43" t="n"/>
      <c r="E27" s="11">
        <f>IF(OR(C27=0,D27=""),"",D27/C27)</f>
        <v/>
      </c>
      <c r="F27" s="43" t="n"/>
      <c r="G27" s="43" t="n"/>
      <c r="H27" s="43" t="n"/>
      <c r="I27" s="43" t="n"/>
      <c r="J27" s="15">
        <f>IF(OR(F27="",F27=0),"",G27/F27)</f>
        <v/>
      </c>
      <c r="K27" s="37">
        <f>IF(OR(G27="",G27=0),"",H27/G27)</f>
        <v/>
      </c>
      <c r="L27" s="7" t="n"/>
    </row>
    <row r="28">
      <c r="A28" s="25" t="n">
        <v>46337</v>
      </c>
      <c r="B28" s="14">
        <f>IFERROR(INDEX(LO_TRINH!$A$4:$A$15,MATCH(A28,LO_TRINH!$B$4:$B$15,1)),"")</f>
        <v/>
      </c>
      <c r="C28" s="14">
        <f>IFERROR(INDEX(LO_TRINH!$I$4:$I$15,MATCH(A28,LO_TRINH!$B$4:$B$15,1)),0)</f>
        <v/>
      </c>
      <c r="D28" s="43" t="n"/>
      <c r="E28" s="11">
        <f>IF(OR(C28=0,D28=""),"",D28/C28)</f>
        <v/>
      </c>
      <c r="F28" s="43" t="n"/>
      <c r="G28" s="43" t="n"/>
      <c r="H28" s="43" t="n"/>
      <c r="I28" s="43" t="n"/>
      <c r="J28" s="15">
        <f>IF(OR(F28="",F28=0),"",G28/F28)</f>
        <v/>
      </c>
      <c r="K28" s="37">
        <f>IF(OR(G28="",G28=0),"",H28/G28)</f>
        <v/>
      </c>
      <c r="L28" s="7" t="n"/>
    </row>
    <row r="29">
      <c r="A29" s="25" t="n">
        <v>46338</v>
      </c>
      <c r="B29" s="14">
        <f>IFERROR(INDEX(LO_TRINH!$A$4:$A$15,MATCH(A29,LO_TRINH!$B$4:$B$15,1)),"")</f>
        <v/>
      </c>
      <c r="C29" s="14">
        <f>IFERROR(INDEX(LO_TRINH!$I$4:$I$15,MATCH(A29,LO_TRINH!$B$4:$B$15,1)),0)</f>
        <v/>
      </c>
      <c r="D29" s="43" t="n"/>
      <c r="E29" s="11">
        <f>IF(OR(C29=0,D29=""),"",D29/C29)</f>
        <v/>
      </c>
      <c r="F29" s="43" t="n"/>
      <c r="G29" s="43" t="n"/>
      <c r="H29" s="43" t="n"/>
      <c r="I29" s="43" t="n"/>
      <c r="J29" s="15">
        <f>IF(OR(F29="",F29=0),"",G29/F29)</f>
        <v/>
      </c>
      <c r="K29" s="37">
        <f>IF(OR(G29="",G29=0),"",H29/G29)</f>
        <v/>
      </c>
      <c r="L29" s="7" t="n"/>
    </row>
    <row r="30">
      <c r="A30" s="25" t="n">
        <v>46339</v>
      </c>
      <c r="B30" s="14">
        <f>IFERROR(INDEX(LO_TRINH!$A$4:$A$15,MATCH(A30,LO_TRINH!$B$4:$B$15,1)),"")</f>
        <v/>
      </c>
      <c r="C30" s="14">
        <f>IFERROR(INDEX(LO_TRINH!$I$4:$I$15,MATCH(A30,LO_TRINH!$B$4:$B$15,1)),0)</f>
        <v/>
      </c>
      <c r="D30" s="43" t="n"/>
      <c r="E30" s="11">
        <f>IF(OR(C30=0,D30=""),"",D30/C30)</f>
        <v/>
      </c>
      <c r="F30" s="43" t="n"/>
      <c r="G30" s="43" t="n"/>
      <c r="H30" s="43" t="n"/>
      <c r="I30" s="43" t="n"/>
      <c r="J30" s="15">
        <f>IF(OR(F30="",F30=0),"",G30/F30)</f>
        <v/>
      </c>
      <c r="K30" s="37">
        <f>IF(OR(G30="",G30=0),"",H30/G30)</f>
        <v/>
      </c>
      <c r="L30" s="7" t="n"/>
    </row>
    <row r="31">
      <c r="A31" s="25" t="n">
        <v>46340</v>
      </c>
      <c r="B31" s="14">
        <f>IFERROR(INDEX(LO_TRINH!$A$4:$A$15,MATCH(A31,LO_TRINH!$B$4:$B$15,1)),"")</f>
        <v/>
      </c>
      <c r="C31" s="14">
        <f>IFERROR(INDEX(LO_TRINH!$I$4:$I$15,MATCH(A31,LO_TRINH!$B$4:$B$15,1)),0)</f>
        <v/>
      </c>
      <c r="D31" s="43" t="n"/>
      <c r="E31" s="11">
        <f>IF(OR(C31=0,D31=""),"",D31/C31)</f>
        <v/>
      </c>
      <c r="F31" s="43" t="n"/>
      <c r="G31" s="43" t="n"/>
      <c r="H31" s="43" t="n"/>
      <c r="I31" s="43" t="n"/>
      <c r="J31" s="15">
        <f>IF(OR(F31="",F31=0),"",G31/F31)</f>
        <v/>
      </c>
      <c r="K31" s="37">
        <f>IF(OR(G31="",G31=0),"",H31/G31)</f>
        <v/>
      </c>
      <c r="L31" s="7" t="n"/>
    </row>
    <row r="32">
      <c r="A32" s="25" t="n">
        <v>46341</v>
      </c>
      <c r="B32" s="14">
        <f>IFERROR(INDEX(LO_TRINH!$A$4:$A$15,MATCH(A32,LO_TRINH!$B$4:$B$15,1)),"")</f>
        <v/>
      </c>
      <c r="C32" s="14">
        <f>IFERROR(INDEX(LO_TRINH!$I$4:$I$15,MATCH(A32,LO_TRINH!$B$4:$B$15,1)),0)</f>
        <v/>
      </c>
      <c r="D32" s="43" t="n"/>
      <c r="E32" s="11">
        <f>IF(OR(C32=0,D32=""),"",D32/C32)</f>
        <v/>
      </c>
      <c r="F32" s="43" t="n"/>
      <c r="G32" s="43" t="n"/>
      <c r="H32" s="43" t="n"/>
      <c r="I32" s="43" t="n"/>
      <c r="J32" s="15">
        <f>IF(OR(F32="",F32=0),"",G32/F32)</f>
        <v/>
      </c>
      <c r="K32" s="37">
        <f>IF(OR(G32="",G32=0),"",H32/G32)</f>
        <v/>
      </c>
      <c r="L32" s="7" t="n"/>
    </row>
    <row r="33">
      <c r="A33" s="25" t="n">
        <v>46342</v>
      </c>
      <c r="B33" s="14">
        <f>IFERROR(INDEX(LO_TRINH!$A$4:$A$15,MATCH(A33,LO_TRINH!$B$4:$B$15,1)),"")</f>
        <v/>
      </c>
      <c r="C33" s="14">
        <f>IFERROR(INDEX(LO_TRINH!$I$4:$I$15,MATCH(A33,LO_TRINH!$B$4:$B$15,1)),0)</f>
        <v/>
      </c>
      <c r="D33" s="43" t="n"/>
      <c r="E33" s="11">
        <f>IF(OR(C33=0,D33=""),"",D33/C33)</f>
        <v/>
      </c>
      <c r="F33" s="43" t="n"/>
      <c r="G33" s="43" t="n"/>
      <c r="H33" s="43" t="n"/>
      <c r="I33" s="43" t="n"/>
      <c r="J33" s="15">
        <f>IF(OR(F33="",F33=0),"",G33/F33)</f>
        <v/>
      </c>
      <c r="K33" s="37">
        <f>IF(OR(G33="",G33=0),"",H33/G33)</f>
        <v/>
      </c>
      <c r="L33" s="7" t="n"/>
    </row>
    <row r="34">
      <c r="A34" s="25" t="n">
        <v>46343</v>
      </c>
      <c r="B34" s="14">
        <f>IFERROR(INDEX(LO_TRINH!$A$4:$A$15,MATCH(A34,LO_TRINH!$B$4:$B$15,1)),"")</f>
        <v/>
      </c>
      <c r="C34" s="14">
        <f>IFERROR(INDEX(LO_TRINH!$I$4:$I$15,MATCH(A34,LO_TRINH!$B$4:$B$15,1)),0)</f>
        <v/>
      </c>
      <c r="D34" s="43" t="n"/>
      <c r="E34" s="11">
        <f>IF(OR(C34=0,D34=""),"",D34/C34)</f>
        <v/>
      </c>
      <c r="F34" s="43" t="n"/>
      <c r="G34" s="43" t="n"/>
      <c r="H34" s="43" t="n"/>
      <c r="I34" s="43" t="n"/>
      <c r="J34" s="15">
        <f>IF(OR(F34="",F34=0),"",G34/F34)</f>
        <v/>
      </c>
      <c r="K34" s="37">
        <f>IF(OR(G34="",G34=0),"",H34/G34)</f>
        <v/>
      </c>
      <c r="L34" s="7" t="n"/>
    </row>
    <row r="35">
      <c r="A35" s="25" t="n">
        <v>46344</v>
      </c>
      <c r="B35" s="14">
        <f>IFERROR(INDEX(LO_TRINH!$A$4:$A$15,MATCH(A35,LO_TRINH!$B$4:$B$15,1)),"")</f>
        <v/>
      </c>
      <c r="C35" s="14">
        <f>IFERROR(INDEX(LO_TRINH!$I$4:$I$15,MATCH(A35,LO_TRINH!$B$4:$B$15,1)),0)</f>
        <v/>
      </c>
      <c r="D35" s="43" t="n"/>
      <c r="E35" s="11">
        <f>IF(OR(C35=0,D35=""),"",D35/C35)</f>
        <v/>
      </c>
      <c r="F35" s="43" t="n"/>
      <c r="G35" s="43" t="n"/>
      <c r="H35" s="43" t="n"/>
      <c r="I35" s="43" t="n"/>
      <c r="J35" s="15">
        <f>IF(OR(F35="",F35=0),"",G35/F35)</f>
        <v/>
      </c>
      <c r="K35" s="37">
        <f>IF(OR(G35="",G35=0),"",H35/G35)</f>
        <v/>
      </c>
      <c r="L35" s="7" t="n"/>
    </row>
    <row r="36">
      <c r="A36" s="25" t="n">
        <v>46345</v>
      </c>
      <c r="B36" s="14">
        <f>IFERROR(INDEX(LO_TRINH!$A$4:$A$15,MATCH(A36,LO_TRINH!$B$4:$B$15,1)),"")</f>
        <v/>
      </c>
      <c r="C36" s="14">
        <f>IFERROR(INDEX(LO_TRINH!$I$4:$I$15,MATCH(A36,LO_TRINH!$B$4:$B$15,1)),0)</f>
        <v/>
      </c>
      <c r="D36" s="43" t="n"/>
      <c r="E36" s="11">
        <f>IF(OR(C36=0,D36=""),"",D36/C36)</f>
        <v/>
      </c>
      <c r="F36" s="43" t="n"/>
      <c r="G36" s="43" t="n"/>
      <c r="H36" s="43" t="n"/>
      <c r="I36" s="43" t="n"/>
      <c r="J36" s="15">
        <f>IF(OR(F36="",F36=0),"",G36/F36)</f>
        <v/>
      </c>
      <c r="K36" s="37">
        <f>IF(OR(G36="",G36=0),"",H36/G36)</f>
        <v/>
      </c>
      <c r="L36" s="7" t="n"/>
    </row>
    <row r="37">
      <c r="A37" s="25" t="n">
        <v>46346</v>
      </c>
      <c r="B37" s="14">
        <f>IFERROR(INDEX(LO_TRINH!$A$4:$A$15,MATCH(A37,LO_TRINH!$B$4:$B$15,1)),"")</f>
        <v/>
      </c>
      <c r="C37" s="14">
        <f>IFERROR(INDEX(LO_TRINH!$I$4:$I$15,MATCH(A37,LO_TRINH!$B$4:$B$15,1)),0)</f>
        <v/>
      </c>
      <c r="D37" s="43" t="n"/>
      <c r="E37" s="11">
        <f>IF(OR(C37=0,D37=""),"",D37/C37)</f>
        <v/>
      </c>
      <c r="F37" s="43" t="n"/>
      <c r="G37" s="43" t="n"/>
      <c r="H37" s="43" t="n"/>
      <c r="I37" s="43" t="n"/>
      <c r="J37" s="15">
        <f>IF(OR(F37="",F37=0),"",G37/F37)</f>
        <v/>
      </c>
      <c r="K37" s="37">
        <f>IF(OR(G37="",G37=0),"",H37/G37)</f>
        <v/>
      </c>
      <c r="L37" s="7" t="n"/>
    </row>
    <row r="38">
      <c r="A38" s="25" t="n">
        <v>46347</v>
      </c>
      <c r="B38" s="14">
        <f>IFERROR(INDEX(LO_TRINH!$A$4:$A$15,MATCH(A38,LO_TRINH!$B$4:$B$15,1)),"")</f>
        <v/>
      </c>
      <c r="C38" s="14">
        <f>IFERROR(INDEX(LO_TRINH!$I$4:$I$15,MATCH(A38,LO_TRINH!$B$4:$B$15,1)),0)</f>
        <v/>
      </c>
      <c r="D38" s="43" t="n"/>
      <c r="E38" s="11">
        <f>IF(OR(C38=0,D38=""),"",D38/C38)</f>
        <v/>
      </c>
      <c r="F38" s="43" t="n"/>
      <c r="G38" s="43" t="n"/>
      <c r="H38" s="43" t="n"/>
      <c r="I38" s="43" t="n"/>
      <c r="J38" s="15">
        <f>IF(OR(F38="",F38=0),"",G38/F38)</f>
        <v/>
      </c>
      <c r="K38" s="37">
        <f>IF(OR(G38="",G38=0),"",H38/G38)</f>
        <v/>
      </c>
      <c r="L38" s="7" t="n"/>
    </row>
    <row r="39">
      <c r="A39" s="25" t="n">
        <v>46348</v>
      </c>
      <c r="B39" s="14">
        <f>IFERROR(INDEX(LO_TRINH!$A$4:$A$15,MATCH(A39,LO_TRINH!$B$4:$B$15,1)),"")</f>
        <v/>
      </c>
      <c r="C39" s="14">
        <f>IFERROR(INDEX(LO_TRINH!$I$4:$I$15,MATCH(A39,LO_TRINH!$B$4:$B$15,1)),0)</f>
        <v/>
      </c>
      <c r="D39" s="43" t="n"/>
      <c r="E39" s="11">
        <f>IF(OR(C39=0,D39=""),"",D39/C39)</f>
        <v/>
      </c>
      <c r="F39" s="43" t="n"/>
      <c r="G39" s="43" t="n"/>
      <c r="H39" s="43" t="n"/>
      <c r="I39" s="43" t="n"/>
      <c r="J39" s="15">
        <f>IF(OR(F39="",F39=0),"",G39/F39)</f>
        <v/>
      </c>
      <c r="K39" s="37">
        <f>IF(OR(G39="",G39=0),"",H39/G39)</f>
        <v/>
      </c>
      <c r="L39" s="7" t="n"/>
    </row>
    <row r="40">
      <c r="A40" s="25" t="n">
        <v>46349</v>
      </c>
      <c r="B40" s="14">
        <f>IFERROR(INDEX(LO_TRINH!$A$4:$A$15,MATCH(A40,LO_TRINH!$B$4:$B$15,1)),"")</f>
        <v/>
      </c>
      <c r="C40" s="14">
        <f>IFERROR(INDEX(LO_TRINH!$I$4:$I$15,MATCH(A40,LO_TRINH!$B$4:$B$15,1)),0)</f>
        <v/>
      </c>
      <c r="D40" s="43" t="n"/>
      <c r="E40" s="11">
        <f>IF(OR(C40=0,D40=""),"",D40/C40)</f>
        <v/>
      </c>
      <c r="F40" s="43" t="n"/>
      <c r="G40" s="43" t="n"/>
      <c r="H40" s="43" t="n"/>
      <c r="I40" s="43" t="n"/>
      <c r="J40" s="15">
        <f>IF(OR(F40="",F40=0),"",G40/F40)</f>
        <v/>
      </c>
      <c r="K40" s="37">
        <f>IF(OR(G40="",G40=0),"",H40/G40)</f>
        <v/>
      </c>
      <c r="L40" s="7" t="n"/>
    </row>
    <row r="41">
      <c r="A41" s="25" t="n">
        <v>46350</v>
      </c>
      <c r="B41" s="14">
        <f>IFERROR(INDEX(LO_TRINH!$A$4:$A$15,MATCH(A41,LO_TRINH!$B$4:$B$15,1)),"")</f>
        <v/>
      </c>
      <c r="C41" s="14">
        <f>IFERROR(INDEX(LO_TRINH!$I$4:$I$15,MATCH(A41,LO_TRINH!$B$4:$B$15,1)),0)</f>
        <v/>
      </c>
      <c r="D41" s="43" t="n"/>
      <c r="E41" s="11">
        <f>IF(OR(C41=0,D41=""),"",D41/C41)</f>
        <v/>
      </c>
      <c r="F41" s="43" t="n"/>
      <c r="G41" s="43" t="n"/>
      <c r="H41" s="43" t="n"/>
      <c r="I41" s="43" t="n"/>
      <c r="J41" s="15">
        <f>IF(OR(F41="",F41=0),"",G41/F41)</f>
        <v/>
      </c>
      <c r="K41" s="37">
        <f>IF(OR(G41="",G41=0),"",H41/G41)</f>
        <v/>
      </c>
      <c r="L41" s="7" t="n"/>
    </row>
    <row r="42">
      <c r="A42" s="25" t="n">
        <v>46351</v>
      </c>
      <c r="B42" s="14">
        <f>IFERROR(INDEX(LO_TRINH!$A$4:$A$15,MATCH(A42,LO_TRINH!$B$4:$B$15,1)),"")</f>
        <v/>
      </c>
      <c r="C42" s="14">
        <f>IFERROR(INDEX(LO_TRINH!$I$4:$I$15,MATCH(A42,LO_TRINH!$B$4:$B$15,1)),0)</f>
        <v/>
      </c>
      <c r="D42" s="43" t="n"/>
      <c r="E42" s="11">
        <f>IF(OR(C42=0,D42=""),"",D42/C42)</f>
        <v/>
      </c>
      <c r="F42" s="43" t="n"/>
      <c r="G42" s="43" t="n"/>
      <c r="H42" s="43" t="n"/>
      <c r="I42" s="43" t="n"/>
      <c r="J42" s="15">
        <f>IF(OR(F42="",F42=0),"",G42/F42)</f>
        <v/>
      </c>
      <c r="K42" s="37">
        <f>IF(OR(G42="",G42=0),"",H42/G42)</f>
        <v/>
      </c>
      <c r="L42" s="7" t="n"/>
    </row>
    <row r="43">
      <c r="A43" s="25" t="n">
        <v>46352</v>
      </c>
      <c r="B43" s="14">
        <f>IFERROR(INDEX(LO_TRINH!$A$4:$A$15,MATCH(A43,LO_TRINH!$B$4:$B$15,1)),"")</f>
        <v/>
      </c>
      <c r="C43" s="14">
        <f>IFERROR(INDEX(LO_TRINH!$I$4:$I$15,MATCH(A43,LO_TRINH!$B$4:$B$15,1)),0)</f>
        <v/>
      </c>
      <c r="D43" s="43" t="n"/>
      <c r="E43" s="11">
        <f>IF(OR(C43=0,D43=""),"",D43/C43)</f>
        <v/>
      </c>
      <c r="F43" s="43" t="n"/>
      <c r="G43" s="43" t="n"/>
      <c r="H43" s="43" t="n"/>
      <c r="I43" s="43" t="n"/>
      <c r="J43" s="15">
        <f>IF(OR(F43="",F43=0),"",G43/F43)</f>
        <v/>
      </c>
      <c r="K43" s="37">
        <f>IF(OR(G43="",G43=0),"",H43/G43)</f>
        <v/>
      </c>
      <c r="L43" s="7" t="n"/>
    </row>
    <row r="44">
      <c r="A44" s="25" t="n">
        <v>46353</v>
      </c>
      <c r="B44" s="14">
        <f>IFERROR(INDEX(LO_TRINH!$A$4:$A$15,MATCH(A44,LO_TRINH!$B$4:$B$15,1)),"")</f>
        <v/>
      </c>
      <c r="C44" s="14">
        <f>IFERROR(INDEX(LO_TRINH!$I$4:$I$15,MATCH(A44,LO_TRINH!$B$4:$B$15,1)),0)</f>
        <v/>
      </c>
      <c r="D44" s="43" t="n"/>
      <c r="E44" s="11">
        <f>IF(OR(C44=0,D44=""),"",D44/C44)</f>
        <v/>
      </c>
      <c r="F44" s="43" t="n"/>
      <c r="G44" s="43" t="n"/>
      <c r="H44" s="43" t="n"/>
      <c r="I44" s="43" t="n"/>
      <c r="J44" s="15">
        <f>IF(OR(F44="",F44=0),"",G44/F44)</f>
        <v/>
      </c>
      <c r="K44" s="37">
        <f>IF(OR(G44="",G44=0),"",H44/G44)</f>
        <v/>
      </c>
      <c r="L44" s="7" t="n"/>
    </row>
    <row r="45">
      <c r="A45" s="25" t="n">
        <v>46354</v>
      </c>
      <c r="B45" s="14">
        <f>IFERROR(INDEX(LO_TRINH!$A$4:$A$15,MATCH(A45,LO_TRINH!$B$4:$B$15,1)),"")</f>
        <v/>
      </c>
      <c r="C45" s="14">
        <f>IFERROR(INDEX(LO_TRINH!$I$4:$I$15,MATCH(A45,LO_TRINH!$B$4:$B$15,1)),0)</f>
        <v/>
      </c>
      <c r="D45" s="43" t="n"/>
      <c r="E45" s="11">
        <f>IF(OR(C45=0,D45=""),"",D45/C45)</f>
        <v/>
      </c>
      <c r="F45" s="43" t="n"/>
      <c r="G45" s="43" t="n"/>
      <c r="H45" s="43" t="n"/>
      <c r="I45" s="43" t="n"/>
      <c r="J45" s="15">
        <f>IF(OR(F45="",F45=0),"",G45/F45)</f>
        <v/>
      </c>
      <c r="K45" s="37">
        <f>IF(OR(G45="",G45=0),"",H45/G45)</f>
        <v/>
      </c>
      <c r="L45" s="7" t="n"/>
    </row>
    <row r="46">
      <c r="A46" s="25" t="n">
        <v>46355</v>
      </c>
      <c r="B46" s="14">
        <f>IFERROR(INDEX(LO_TRINH!$A$4:$A$15,MATCH(A46,LO_TRINH!$B$4:$B$15,1)),"")</f>
        <v/>
      </c>
      <c r="C46" s="14">
        <f>IFERROR(INDEX(LO_TRINH!$I$4:$I$15,MATCH(A46,LO_TRINH!$B$4:$B$15,1)),0)</f>
        <v/>
      </c>
      <c r="D46" s="43" t="n"/>
      <c r="E46" s="11">
        <f>IF(OR(C46=0,D46=""),"",D46/C46)</f>
        <v/>
      </c>
      <c r="F46" s="43" t="n"/>
      <c r="G46" s="43" t="n"/>
      <c r="H46" s="43" t="n"/>
      <c r="I46" s="43" t="n"/>
      <c r="J46" s="15">
        <f>IF(OR(F46="",F46=0),"",G46/F46)</f>
        <v/>
      </c>
      <c r="K46" s="37">
        <f>IF(OR(G46="",G46=0),"",H46/G46)</f>
        <v/>
      </c>
      <c r="L46" s="7" t="n"/>
    </row>
    <row r="47">
      <c r="A47" s="25" t="n">
        <v>46356</v>
      </c>
      <c r="B47" s="14">
        <f>IFERROR(INDEX(LO_TRINH!$A$4:$A$15,MATCH(A47,LO_TRINH!$B$4:$B$15,1)),"")</f>
        <v/>
      </c>
      <c r="C47" s="14">
        <f>IFERROR(INDEX(LO_TRINH!$I$4:$I$15,MATCH(A47,LO_TRINH!$B$4:$B$15,1)),0)</f>
        <v/>
      </c>
      <c r="D47" s="43" t="n"/>
      <c r="E47" s="11">
        <f>IF(OR(C47=0,D47=""),"",D47/C47)</f>
        <v/>
      </c>
      <c r="F47" s="43" t="n"/>
      <c r="G47" s="43" t="n"/>
      <c r="H47" s="43" t="n"/>
      <c r="I47" s="43" t="n"/>
      <c r="J47" s="15">
        <f>IF(OR(F47="",F47=0),"",G47/F47)</f>
        <v/>
      </c>
      <c r="K47" s="37">
        <f>IF(OR(G47="",G47=0),"",H47/G47)</f>
        <v/>
      </c>
      <c r="L47" s="7" t="n"/>
    </row>
    <row r="48">
      <c r="A48" s="25" t="n">
        <v>46357</v>
      </c>
      <c r="B48" s="14">
        <f>IFERROR(INDEX(LO_TRINH!$A$4:$A$15,MATCH(A48,LO_TRINH!$B$4:$B$15,1)),"")</f>
        <v/>
      </c>
      <c r="C48" s="14">
        <f>IFERROR(INDEX(LO_TRINH!$I$4:$I$15,MATCH(A48,LO_TRINH!$B$4:$B$15,1)),0)</f>
        <v/>
      </c>
      <c r="D48" s="43" t="n"/>
      <c r="E48" s="11">
        <f>IF(OR(C48=0,D48=""),"",D48/C48)</f>
        <v/>
      </c>
      <c r="F48" s="43" t="n"/>
      <c r="G48" s="43" t="n"/>
      <c r="H48" s="43" t="n"/>
      <c r="I48" s="43" t="n"/>
      <c r="J48" s="15">
        <f>IF(OR(F48="",F48=0),"",G48/F48)</f>
        <v/>
      </c>
      <c r="K48" s="37">
        <f>IF(OR(G48="",G48=0),"",H48/G48)</f>
        <v/>
      </c>
      <c r="L48" s="7" t="n"/>
    </row>
    <row r="49">
      <c r="A49" s="25" t="n">
        <v>46358</v>
      </c>
      <c r="B49" s="14">
        <f>IFERROR(INDEX(LO_TRINH!$A$4:$A$15,MATCH(A49,LO_TRINH!$B$4:$B$15,1)),"")</f>
        <v/>
      </c>
      <c r="C49" s="14">
        <f>IFERROR(INDEX(LO_TRINH!$I$4:$I$15,MATCH(A49,LO_TRINH!$B$4:$B$15,1)),0)</f>
        <v/>
      </c>
      <c r="D49" s="43" t="n"/>
      <c r="E49" s="11">
        <f>IF(OR(C49=0,D49=""),"",D49/C49)</f>
        <v/>
      </c>
      <c r="F49" s="43" t="n"/>
      <c r="G49" s="43" t="n"/>
      <c r="H49" s="43" t="n"/>
      <c r="I49" s="43" t="n"/>
      <c r="J49" s="15">
        <f>IF(OR(F49="",F49=0),"",G49/F49)</f>
        <v/>
      </c>
      <c r="K49" s="37">
        <f>IF(OR(G49="",G49=0),"",H49/G49)</f>
        <v/>
      </c>
      <c r="L49" s="7" t="n"/>
    </row>
    <row r="50">
      <c r="A50" s="25" t="n">
        <v>46359</v>
      </c>
      <c r="B50" s="14">
        <f>IFERROR(INDEX(LO_TRINH!$A$4:$A$15,MATCH(A50,LO_TRINH!$B$4:$B$15,1)),"")</f>
        <v/>
      </c>
      <c r="C50" s="14">
        <f>IFERROR(INDEX(LO_TRINH!$I$4:$I$15,MATCH(A50,LO_TRINH!$B$4:$B$15,1)),0)</f>
        <v/>
      </c>
      <c r="D50" s="43" t="n"/>
      <c r="E50" s="11">
        <f>IF(OR(C50=0,D50=""),"",D50/C50)</f>
        <v/>
      </c>
      <c r="F50" s="43" t="n"/>
      <c r="G50" s="43" t="n"/>
      <c r="H50" s="43" t="n"/>
      <c r="I50" s="43" t="n"/>
      <c r="J50" s="15">
        <f>IF(OR(F50="",F50=0),"",G50/F50)</f>
        <v/>
      </c>
      <c r="K50" s="37">
        <f>IF(OR(G50="",G50=0),"",H50/G50)</f>
        <v/>
      </c>
      <c r="L50" s="7" t="n"/>
    </row>
    <row r="51">
      <c r="A51" s="25" t="n">
        <v>46360</v>
      </c>
      <c r="B51" s="14">
        <f>IFERROR(INDEX(LO_TRINH!$A$4:$A$15,MATCH(A51,LO_TRINH!$B$4:$B$15,1)),"")</f>
        <v/>
      </c>
      <c r="C51" s="14">
        <f>IFERROR(INDEX(LO_TRINH!$I$4:$I$15,MATCH(A51,LO_TRINH!$B$4:$B$15,1)),0)</f>
        <v/>
      </c>
      <c r="D51" s="43" t="n"/>
      <c r="E51" s="11">
        <f>IF(OR(C51=0,D51=""),"",D51/C51)</f>
        <v/>
      </c>
      <c r="F51" s="43" t="n"/>
      <c r="G51" s="43" t="n"/>
      <c r="H51" s="43" t="n"/>
      <c r="I51" s="43" t="n"/>
      <c r="J51" s="15">
        <f>IF(OR(F51="",F51=0),"",G51/F51)</f>
        <v/>
      </c>
      <c r="K51" s="37">
        <f>IF(OR(G51="",G51=0),"",H51/G51)</f>
        <v/>
      </c>
      <c r="L51" s="7" t="n"/>
    </row>
    <row r="52">
      <c r="A52" s="25" t="n">
        <v>46361</v>
      </c>
      <c r="B52" s="14">
        <f>IFERROR(INDEX(LO_TRINH!$A$4:$A$15,MATCH(A52,LO_TRINH!$B$4:$B$15,1)),"")</f>
        <v/>
      </c>
      <c r="C52" s="14">
        <f>IFERROR(INDEX(LO_TRINH!$I$4:$I$15,MATCH(A52,LO_TRINH!$B$4:$B$15,1)),0)</f>
        <v/>
      </c>
      <c r="D52" s="43" t="n"/>
      <c r="E52" s="11">
        <f>IF(OR(C52=0,D52=""),"",D52/C52)</f>
        <v/>
      </c>
      <c r="F52" s="43" t="n"/>
      <c r="G52" s="43" t="n"/>
      <c r="H52" s="43" t="n"/>
      <c r="I52" s="43" t="n"/>
      <c r="J52" s="15">
        <f>IF(OR(F52="",F52=0),"",G52/F52)</f>
        <v/>
      </c>
      <c r="K52" s="37">
        <f>IF(OR(G52="",G52=0),"",H52/G52)</f>
        <v/>
      </c>
      <c r="L52" s="7" t="n"/>
    </row>
    <row r="53">
      <c r="A53" s="25" t="n">
        <v>46362</v>
      </c>
      <c r="B53" s="14">
        <f>IFERROR(INDEX(LO_TRINH!$A$4:$A$15,MATCH(A53,LO_TRINH!$B$4:$B$15,1)),"")</f>
        <v/>
      </c>
      <c r="C53" s="14">
        <f>IFERROR(INDEX(LO_TRINH!$I$4:$I$15,MATCH(A53,LO_TRINH!$B$4:$B$15,1)),0)</f>
        <v/>
      </c>
      <c r="D53" s="43" t="n"/>
      <c r="E53" s="11">
        <f>IF(OR(C53=0,D53=""),"",D53/C53)</f>
        <v/>
      </c>
      <c r="F53" s="43" t="n"/>
      <c r="G53" s="43" t="n"/>
      <c r="H53" s="43" t="n"/>
      <c r="I53" s="43" t="n"/>
      <c r="J53" s="15">
        <f>IF(OR(F53="",F53=0),"",G53/F53)</f>
        <v/>
      </c>
      <c r="K53" s="37">
        <f>IF(OR(G53="",G53=0),"",H53/G53)</f>
        <v/>
      </c>
      <c r="L53" s="7" t="n"/>
    </row>
    <row r="54">
      <c r="A54" s="25" t="n">
        <v>46363</v>
      </c>
      <c r="B54" s="14">
        <f>IFERROR(INDEX(LO_TRINH!$A$4:$A$15,MATCH(A54,LO_TRINH!$B$4:$B$15,1)),"")</f>
        <v/>
      </c>
      <c r="C54" s="14">
        <f>IFERROR(INDEX(LO_TRINH!$I$4:$I$15,MATCH(A54,LO_TRINH!$B$4:$B$15,1)),0)</f>
        <v/>
      </c>
      <c r="D54" s="43" t="n"/>
      <c r="E54" s="11">
        <f>IF(OR(C54=0,D54=""),"",D54/C54)</f>
        <v/>
      </c>
      <c r="F54" s="43" t="n"/>
      <c r="G54" s="43" t="n"/>
      <c r="H54" s="43" t="n"/>
      <c r="I54" s="43" t="n"/>
      <c r="J54" s="15">
        <f>IF(OR(F54="",F54=0),"",G54/F54)</f>
        <v/>
      </c>
      <c r="K54" s="37">
        <f>IF(OR(G54="",G54=0),"",H54/G54)</f>
        <v/>
      </c>
      <c r="L54" s="7" t="n"/>
    </row>
    <row r="55">
      <c r="A55" s="25" t="n">
        <v>46364</v>
      </c>
      <c r="B55" s="14">
        <f>IFERROR(INDEX(LO_TRINH!$A$4:$A$15,MATCH(A55,LO_TRINH!$B$4:$B$15,1)),"")</f>
        <v/>
      </c>
      <c r="C55" s="14">
        <f>IFERROR(INDEX(LO_TRINH!$I$4:$I$15,MATCH(A55,LO_TRINH!$B$4:$B$15,1)),0)</f>
        <v/>
      </c>
      <c r="D55" s="43" t="n"/>
      <c r="E55" s="11">
        <f>IF(OR(C55=0,D55=""),"",D55/C55)</f>
        <v/>
      </c>
      <c r="F55" s="43" t="n"/>
      <c r="G55" s="43" t="n"/>
      <c r="H55" s="43" t="n"/>
      <c r="I55" s="43" t="n"/>
      <c r="J55" s="15">
        <f>IF(OR(F55="",F55=0),"",G55/F55)</f>
        <v/>
      </c>
      <c r="K55" s="37">
        <f>IF(OR(G55="",G55=0),"",H55/G55)</f>
        <v/>
      </c>
      <c r="L55" s="7" t="n"/>
    </row>
    <row r="56">
      <c r="A56" s="25" t="n">
        <v>46365</v>
      </c>
      <c r="B56" s="14">
        <f>IFERROR(INDEX(LO_TRINH!$A$4:$A$15,MATCH(A56,LO_TRINH!$B$4:$B$15,1)),"")</f>
        <v/>
      </c>
      <c r="C56" s="14">
        <f>IFERROR(INDEX(LO_TRINH!$I$4:$I$15,MATCH(A56,LO_TRINH!$B$4:$B$15,1)),0)</f>
        <v/>
      </c>
      <c r="D56" s="43" t="n"/>
      <c r="E56" s="11">
        <f>IF(OR(C56=0,D56=""),"",D56/C56)</f>
        <v/>
      </c>
      <c r="F56" s="43" t="n"/>
      <c r="G56" s="43" t="n"/>
      <c r="H56" s="43" t="n"/>
      <c r="I56" s="43" t="n"/>
      <c r="J56" s="15">
        <f>IF(OR(F56="",F56=0),"",G56/F56)</f>
        <v/>
      </c>
      <c r="K56" s="37">
        <f>IF(OR(G56="",G56=0),"",H56/G56)</f>
        <v/>
      </c>
      <c r="L56" s="7" t="n"/>
    </row>
    <row r="57">
      <c r="A57" s="25" t="n">
        <v>46366</v>
      </c>
      <c r="B57" s="14">
        <f>IFERROR(INDEX(LO_TRINH!$A$4:$A$15,MATCH(A57,LO_TRINH!$B$4:$B$15,1)),"")</f>
        <v/>
      </c>
      <c r="C57" s="14">
        <f>IFERROR(INDEX(LO_TRINH!$I$4:$I$15,MATCH(A57,LO_TRINH!$B$4:$B$15,1)),0)</f>
        <v/>
      </c>
      <c r="D57" s="43" t="n"/>
      <c r="E57" s="11">
        <f>IF(OR(C57=0,D57=""),"",D57/C57)</f>
        <v/>
      </c>
      <c r="F57" s="43" t="n"/>
      <c r="G57" s="43" t="n"/>
      <c r="H57" s="43" t="n"/>
      <c r="I57" s="43" t="n"/>
      <c r="J57" s="15">
        <f>IF(OR(F57="",F57=0),"",G57/F57)</f>
        <v/>
      </c>
      <c r="K57" s="37">
        <f>IF(OR(G57="",G57=0),"",H57/G57)</f>
        <v/>
      </c>
      <c r="L57" s="7" t="n"/>
    </row>
    <row r="58">
      <c r="A58" s="25" t="n">
        <v>46367</v>
      </c>
      <c r="B58" s="14">
        <f>IFERROR(INDEX(LO_TRINH!$A$4:$A$15,MATCH(A58,LO_TRINH!$B$4:$B$15,1)),"")</f>
        <v/>
      </c>
      <c r="C58" s="14">
        <f>IFERROR(INDEX(LO_TRINH!$I$4:$I$15,MATCH(A58,LO_TRINH!$B$4:$B$15,1)),0)</f>
        <v/>
      </c>
      <c r="D58" s="43" t="n"/>
      <c r="E58" s="11">
        <f>IF(OR(C58=0,D58=""),"",D58/C58)</f>
        <v/>
      </c>
      <c r="F58" s="43" t="n"/>
      <c r="G58" s="43" t="n"/>
      <c r="H58" s="43" t="n"/>
      <c r="I58" s="43" t="n"/>
      <c r="J58" s="15">
        <f>IF(OR(F58="",F58=0),"",G58/F58)</f>
        <v/>
      </c>
      <c r="K58" s="37">
        <f>IF(OR(G58="",G58=0),"",H58/G58)</f>
        <v/>
      </c>
      <c r="L58" s="7" t="n"/>
    </row>
    <row r="59">
      <c r="A59" s="25" t="n">
        <v>46368</v>
      </c>
      <c r="B59" s="14">
        <f>IFERROR(INDEX(LO_TRINH!$A$4:$A$15,MATCH(A59,LO_TRINH!$B$4:$B$15,1)),"")</f>
        <v/>
      </c>
      <c r="C59" s="14">
        <f>IFERROR(INDEX(LO_TRINH!$I$4:$I$15,MATCH(A59,LO_TRINH!$B$4:$B$15,1)),0)</f>
        <v/>
      </c>
      <c r="D59" s="43" t="n"/>
      <c r="E59" s="11">
        <f>IF(OR(C59=0,D59=""),"",D59/C59)</f>
        <v/>
      </c>
      <c r="F59" s="43" t="n"/>
      <c r="G59" s="43" t="n"/>
      <c r="H59" s="43" t="n"/>
      <c r="I59" s="43" t="n"/>
      <c r="J59" s="15">
        <f>IF(OR(F59="",F59=0),"",G59/F59)</f>
        <v/>
      </c>
      <c r="K59" s="37">
        <f>IF(OR(G59="",G59=0),"",H59/G59)</f>
        <v/>
      </c>
      <c r="L59" s="7" t="n"/>
    </row>
    <row r="60">
      <c r="A60" s="25" t="n">
        <v>46369</v>
      </c>
      <c r="B60" s="14">
        <f>IFERROR(INDEX(LO_TRINH!$A$4:$A$15,MATCH(A60,LO_TRINH!$B$4:$B$15,1)),"")</f>
        <v/>
      </c>
      <c r="C60" s="14">
        <f>IFERROR(INDEX(LO_TRINH!$I$4:$I$15,MATCH(A60,LO_TRINH!$B$4:$B$15,1)),0)</f>
        <v/>
      </c>
      <c r="D60" s="43" t="n"/>
      <c r="E60" s="11">
        <f>IF(OR(C60=0,D60=""),"",D60/C60)</f>
        <v/>
      </c>
      <c r="F60" s="43" t="n"/>
      <c r="G60" s="43" t="n"/>
      <c r="H60" s="43" t="n"/>
      <c r="I60" s="43" t="n"/>
      <c r="J60" s="15">
        <f>IF(OR(F60="",F60=0),"",G60/F60)</f>
        <v/>
      </c>
      <c r="K60" s="37">
        <f>IF(OR(G60="",G60=0),"",H60/G60)</f>
        <v/>
      </c>
      <c r="L60" s="7" t="n"/>
    </row>
    <row r="61">
      <c r="A61" s="25" t="n">
        <v>46370</v>
      </c>
      <c r="B61" s="14">
        <f>IFERROR(INDEX(LO_TRINH!$A$4:$A$15,MATCH(A61,LO_TRINH!$B$4:$B$15,1)),"")</f>
        <v/>
      </c>
      <c r="C61" s="14">
        <f>IFERROR(INDEX(LO_TRINH!$I$4:$I$15,MATCH(A61,LO_TRINH!$B$4:$B$15,1)),0)</f>
        <v/>
      </c>
      <c r="D61" s="43" t="n"/>
      <c r="E61" s="11">
        <f>IF(OR(C61=0,D61=""),"",D61/C61)</f>
        <v/>
      </c>
      <c r="F61" s="43" t="n"/>
      <c r="G61" s="43" t="n"/>
      <c r="H61" s="43" t="n"/>
      <c r="I61" s="43" t="n"/>
      <c r="J61" s="15">
        <f>IF(OR(F61="",F61=0),"",G61/F61)</f>
        <v/>
      </c>
      <c r="K61" s="37">
        <f>IF(OR(G61="",G61=0),"",H61/G61)</f>
        <v/>
      </c>
      <c r="L61" s="7" t="n"/>
    </row>
    <row r="62">
      <c r="A62" s="25" t="n">
        <v>46371</v>
      </c>
      <c r="B62" s="14">
        <f>IFERROR(INDEX(LO_TRINH!$A$4:$A$15,MATCH(A62,LO_TRINH!$B$4:$B$15,1)),"")</f>
        <v/>
      </c>
      <c r="C62" s="14">
        <f>IFERROR(INDEX(LO_TRINH!$I$4:$I$15,MATCH(A62,LO_TRINH!$B$4:$B$15,1)),0)</f>
        <v/>
      </c>
      <c r="D62" s="43" t="n"/>
      <c r="E62" s="11">
        <f>IF(OR(C62=0,D62=""),"",D62/C62)</f>
        <v/>
      </c>
      <c r="F62" s="43" t="n"/>
      <c r="G62" s="43" t="n"/>
      <c r="H62" s="43" t="n"/>
      <c r="I62" s="43" t="n"/>
      <c r="J62" s="15">
        <f>IF(OR(F62="",F62=0),"",G62/F62)</f>
        <v/>
      </c>
      <c r="K62" s="37">
        <f>IF(OR(G62="",G62=0),"",H62/G62)</f>
        <v/>
      </c>
      <c r="L62" s="7" t="n"/>
    </row>
    <row r="63">
      <c r="A63" s="25" t="n">
        <v>46372</v>
      </c>
      <c r="B63" s="14">
        <f>IFERROR(INDEX(LO_TRINH!$A$4:$A$15,MATCH(A63,LO_TRINH!$B$4:$B$15,1)),"")</f>
        <v/>
      </c>
      <c r="C63" s="14">
        <f>IFERROR(INDEX(LO_TRINH!$I$4:$I$15,MATCH(A63,LO_TRINH!$B$4:$B$15,1)),0)</f>
        <v/>
      </c>
      <c r="D63" s="43" t="n"/>
      <c r="E63" s="11">
        <f>IF(OR(C63=0,D63=""),"",D63/C63)</f>
        <v/>
      </c>
      <c r="F63" s="43" t="n"/>
      <c r="G63" s="43" t="n"/>
      <c r="H63" s="43" t="n"/>
      <c r="I63" s="43" t="n"/>
      <c r="J63" s="15">
        <f>IF(OR(F63="",F63=0),"",G63/F63)</f>
        <v/>
      </c>
      <c r="K63" s="37">
        <f>IF(OR(G63="",G63=0),"",H63/G63)</f>
        <v/>
      </c>
      <c r="L63" s="7" t="n"/>
    </row>
    <row r="64">
      <c r="A64" s="25" t="n">
        <v>46373</v>
      </c>
      <c r="B64" s="14">
        <f>IFERROR(INDEX(LO_TRINH!$A$4:$A$15,MATCH(A64,LO_TRINH!$B$4:$B$15,1)),"")</f>
        <v/>
      </c>
      <c r="C64" s="14">
        <f>IFERROR(INDEX(LO_TRINH!$I$4:$I$15,MATCH(A64,LO_TRINH!$B$4:$B$15,1)),0)</f>
        <v/>
      </c>
      <c r="D64" s="43" t="n"/>
      <c r="E64" s="11">
        <f>IF(OR(C64=0,D64=""),"",D64/C64)</f>
        <v/>
      </c>
      <c r="F64" s="43" t="n"/>
      <c r="G64" s="43" t="n"/>
      <c r="H64" s="43" t="n"/>
      <c r="I64" s="43" t="n"/>
      <c r="J64" s="15">
        <f>IF(OR(F64="",F64=0),"",G64/F64)</f>
        <v/>
      </c>
      <c r="K64" s="37">
        <f>IF(OR(G64="",G64=0),"",H64/G64)</f>
        <v/>
      </c>
      <c r="L64" s="7" t="n"/>
    </row>
    <row r="65">
      <c r="A65" s="25" t="n">
        <v>46374</v>
      </c>
      <c r="B65" s="14">
        <f>IFERROR(INDEX(LO_TRINH!$A$4:$A$15,MATCH(A65,LO_TRINH!$B$4:$B$15,1)),"")</f>
        <v/>
      </c>
      <c r="C65" s="14">
        <f>IFERROR(INDEX(LO_TRINH!$I$4:$I$15,MATCH(A65,LO_TRINH!$B$4:$B$15,1)),0)</f>
        <v/>
      </c>
      <c r="D65" s="43" t="n"/>
      <c r="E65" s="11">
        <f>IF(OR(C65=0,D65=""),"",D65/C65)</f>
        <v/>
      </c>
      <c r="F65" s="43" t="n"/>
      <c r="G65" s="43" t="n"/>
      <c r="H65" s="43" t="n"/>
      <c r="I65" s="43" t="n"/>
      <c r="J65" s="15">
        <f>IF(OR(F65="",F65=0),"",G65/F65)</f>
        <v/>
      </c>
      <c r="K65" s="37">
        <f>IF(OR(G65="",G65=0),"",H65/G65)</f>
        <v/>
      </c>
      <c r="L65" s="7" t="n"/>
    </row>
    <row r="66">
      <c r="A66" s="25" t="n">
        <v>46375</v>
      </c>
      <c r="B66" s="14">
        <f>IFERROR(INDEX(LO_TRINH!$A$4:$A$15,MATCH(A66,LO_TRINH!$B$4:$B$15,1)),"")</f>
        <v/>
      </c>
      <c r="C66" s="14">
        <f>IFERROR(INDEX(LO_TRINH!$I$4:$I$15,MATCH(A66,LO_TRINH!$B$4:$B$15,1)),0)</f>
        <v/>
      </c>
      <c r="D66" s="43" t="n"/>
      <c r="E66" s="11">
        <f>IF(OR(C66=0,D66=""),"",D66/C66)</f>
        <v/>
      </c>
      <c r="F66" s="43" t="n"/>
      <c r="G66" s="43" t="n"/>
      <c r="H66" s="43" t="n"/>
      <c r="I66" s="43" t="n"/>
      <c r="J66" s="15">
        <f>IF(OR(F66="",F66=0),"",G66/F66)</f>
        <v/>
      </c>
      <c r="K66" s="37">
        <f>IF(OR(G66="",G66=0),"",H66/G66)</f>
        <v/>
      </c>
      <c r="L66" s="7" t="n"/>
    </row>
    <row r="67">
      <c r="A67" s="25" t="n">
        <v>46376</v>
      </c>
      <c r="B67" s="14">
        <f>IFERROR(INDEX(LO_TRINH!$A$4:$A$15,MATCH(A67,LO_TRINH!$B$4:$B$15,1)),"")</f>
        <v/>
      </c>
      <c r="C67" s="14">
        <f>IFERROR(INDEX(LO_TRINH!$I$4:$I$15,MATCH(A67,LO_TRINH!$B$4:$B$15,1)),0)</f>
        <v/>
      </c>
      <c r="D67" s="43" t="n"/>
      <c r="E67" s="11">
        <f>IF(OR(C67=0,D67=""),"",D67/C67)</f>
        <v/>
      </c>
      <c r="F67" s="43" t="n"/>
      <c r="G67" s="43" t="n"/>
      <c r="H67" s="43" t="n"/>
      <c r="I67" s="43" t="n"/>
      <c r="J67" s="15">
        <f>IF(OR(F67="",F67=0),"",G67/F67)</f>
        <v/>
      </c>
      <c r="K67" s="37">
        <f>IF(OR(G67="",G67=0),"",H67/G67)</f>
        <v/>
      </c>
      <c r="L67" s="7" t="n"/>
    </row>
    <row r="68">
      <c r="A68" s="25" t="n">
        <v>46377</v>
      </c>
      <c r="B68" s="14">
        <f>IFERROR(INDEX(LO_TRINH!$A$4:$A$15,MATCH(A68,LO_TRINH!$B$4:$B$15,1)),"")</f>
        <v/>
      </c>
      <c r="C68" s="14">
        <f>IFERROR(INDEX(LO_TRINH!$I$4:$I$15,MATCH(A68,LO_TRINH!$B$4:$B$15,1)),0)</f>
        <v/>
      </c>
      <c r="D68" s="43" t="n"/>
      <c r="E68" s="11">
        <f>IF(OR(C68=0,D68=""),"",D68/C68)</f>
        <v/>
      </c>
      <c r="F68" s="43" t="n"/>
      <c r="G68" s="43" t="n"/>
      <c r="H68" s="43" t="n"/>
      <c r="I68" s="43" t="n"/>
      <c r="J68" s="15">
        <f>IF(OR(F68="",F68=0),"",G68/F68)</f>
        <v/>
      </c>
      <c r="K68" s="37">
        <f>IF(OR(G68="",G68=0),"",H68/G68)</f>
        <v/>
      </c>
      <c r="L68" s="7" t="n"/>
    </row>
    <row r="69">
      <c r="A69" s="25" t="n">
        <v>46378</v>
      </c>
      <c r="B69" s="14">
        <f>IFERROR(INDEX(LO_TRINH!$A$4:$A$15,MATCH(A69,LO_TRINH!$B$4:$B$15,1)),"")</f>
        <v/>
      </c>
      <c r="C69" s="14">
        <f>IFERROR(INDEX(LO_TRINH!$I$4:$I$15,MATCH(A69,LO_TRINH!$B$4:$B$15,1)),0)</f>
        <v/>
      </c>
      <c r="D69" s="43" t="n"/>
      <c r="E69" s="11">
        <f>IF(OR(C69=0,D69=""),"",D69/C69)</f>
        <v/>
      </c>
      <c r="F69" s="43" t="n"/>
      <c r="G69" s="43" t="n"/>
      <c r="H69" s="43" t="n"/>
      <c r="I69" s="43" t="n"/>
      <c r="J69" s="15">
        <f>IF(OR(F69="",F69=0),"",G69/F69)</f>
        <v/>
      </c>
      <c r="K69" s="37">
        <f>IF(OR(G69="",G69=0),"",H69/G69)</f>
        <v/>
      </c>
      <c r="L69" s="7" t="n"/>
    </row>
    <row r="70">
      <c r="A70" s="25" t="n">
        <v>46379</v>
      </c>
      <c r="B70" s="14">
        <f>IFERROR(INDEX(LO_TRINH!$A$4:$A$15,MATCH(A70,LO_TRINH!$B$4:$B$15,1)),"")</f>
        <v/>
      </c>
      <c r="C70" s="14">
        <f>IFERROR(INDEX(LO_TRINH!$I$4:$I$15,MATCH(A70,LO_TRINH!$B$4:$B$15,1)),0)</f>
        <v/>
      </c>
      <c r="D70" s="43" t="n"/>
      <c r="E70" s="11">
        <f>IF(OR(C70=0,D70=""),"",D70/C70)</f>
        <v/>
      </c>
      <c r="F70" s="43" t="n"/>
      <c r="G70" s="43" t="n"/>
      <c r="H70" s="43" t="n"/>
      <c r="I70" s="43" t="n"/>
      <c r="J70" s="15">
        <f>IF(OR(F70="",F70=0),"",G70/F70)</f>
        <v/>
      </c>
      <c r="K70" s="37">
        <f>IF(OR(G70="",G70=0),"",H70/G70)</f>
        <v/>
      </c>
      <c r="L70" s="7" t="n"/>
    </row>
    <row r="71">
      <c r="A71" s="25" t="n">
        <v>46380</v>
      </c>
      <c r="B71" s="14">
        <f>IFERROR(INDEX(LO_TRINH!$A$4:$A$15,MATCH(A71,LO_TRINH!$B$4:$B$15,1)),"")</f>
        <v/>
      </c>
      <c r="C71" s="14">
        <f>IFERROR(INDEX(LO_TRINH!$I$4:$I$15,MATCH(A71,LO_TRINH!$B$4:$B$15,1)),0)</f>
        <v/>
      </c>
      <c r="D71" s="43" t="n"/>
      <c r="E71" s="11">
        <f>IF(OR(C71=0,D71=""),"",D71/C71)</f>
        <v/>
      </c>
      <c r="F71" s="43" t="n"/>
      <c r="G71" s="43" t="n"/>
      <c r="H71" s="43" t="n"/>
      <c r="I71" s="43" t="n"/>
      <c r="J71" s="15">
        <f>IF(OR(F71="",F71=0),"",G71/F71)</f>
        <v/>
      </c>
      <c r="K71" s="37">
        <f>IF(OR(G71="",G71=0),"",H71/G71)</f>
        <v/>
      </c>
      <c r="L71" s="7" t="n"/>
    </row>
    <row r="72">
      <c r="A72" s="25" t="n">
        <v>46381</v>
      </c>
      <c r="B72" s="14">
        <f>IFERROR(INDEX(LO_TRINH!$A$4:$A$15,MATCH(A72,LO_TRINH!$B$4:$B$15,1)),"")</f>
        <v/>
      </c>
      <c r="C72" s="14">
        <f>IFERROR(INDEX(LO_TRINH!$I$4:$I$15,MATCH(A72,LO_TRINH!$B$4:$B$15,1)),0)</f>
        <v/>
      </c>
      <c r="D72" s="43" t="n"/>
      <c r="E72" s="11">
        <f>IF(OR(C72=0,D72=""),"",D72/C72)</f>
        <v/>
      </c>
      <c r="F72" s="43" t="n"/>
      <c r="G72" s="43" t="n"/>
      <c r="H72" s="43" t="n"/>
      <c r="I72" s="43" t="n"/>
      <c r="J72" s="15">
        <f>IF(OR(F72="",F72=0),"",G72/F72)</f>
        <v/>
      </c>
      <c r="K72" s="37">
        <f>IF(OR(G72="",G72=0),"",H72/G72)</f>
        <v/>
      </c>
      <c r="L72" s="7" t="n"/>
    </row>
    <row r="73">
      <c r="A73" s="25" t="n">
        <v>46382</v>
      </c>
      <c r="B73" s="14">
        <f>IFERROR(INDEX(LO_TRINH!$A$4:$A$15,MATCH(A73,LO_TRINH!$B$4:$B$15,1)),"")</f>
        <v/>
      </c>
      <c r="C73" s="14">
        <f>IFERROR(INDEX(LO_TRINH!$I$4:$I$15,MATCH(A73,LO_TRINH!$B$4:$B$15,1)),0)</f>
        <v/>
      </c>
      <c r="D73" s="43" t="n"/>
      <c r="E73" s="11">
        <f>IF(OR(C73=0,D73=""),"",D73/C73)</f>
        <v/>
      </c>
      <c r="F73" s="43" t="n"/>
      <c r="G73" s="43" t="n"/>
      <c r="H73" s="43" t="n"/>
      <c r="I73" s="43" t="n"/>
      <c r="J73" s="15">
        <f>IF(OR(F73="",F73=0),"",G73/F73)</f>
        <v/>
      </c>
      <c r="K73" s="37">
        <f>IF(OR(G73="",G73=0),"",H73/G73)</f>
        <v/>
      </c>
      <c r="L73" s="7" t="n"/>
    </row>
    <row r="74">
      <c r="A74" s="25" t="n">
        <v>46383</v>
      </c>
      <c r="B74" s="14">
        <f>IFERROR(INDEX(LO_TRINH!$A$4:$A$15,MATCH(A74,LO_TRINH!$B$4:$B$15,1)),"")</f>
        <v/>
      </c>
      <c r="C74" s="14">
        <f>IFERROR(INDEX(LO_TRINH!$I$4:$I$15,MATCH(A74,LO_TRINH!$B$4:$B$15,1)),0)</f>
        <v/>
      </c>
      <c r="D74" s="43" t="n"/>
      <c r="E74" s="11">
        <f>IF(OR(C74=0,D74=""),"",D74/C74)</f>
        <v/>
      </c>
      <c r="F74" s="43" t="n"/>
      <c r="G74" s="43" t="n"/>
      <c r="H74" s="43" t="n"/>
      <c r="I74" s="43" t="n"/>
      <c r="J74" s="15">
        <f>IF(OR(F74="",F74=0),"",G74/F74)</f>
        <v/>
      </c>
      <c r="K74" s="37">
        <f>IF(OR(G74="",G74=0),"",H74/G74)</f>
        <v/>
      </c>
      <c r="L74" s="7" t="n"/>
    </row>
    <row r="75">
      <c r="A75" s="25" t="n">
        <v>46384</v>
      </c>
      <c r="B75" s="14">
        <f>IFERROR(INDEX(LO_TRINH!$A$4:$A$15,MATCH(A75,LO_TRINH!$B$4:$B$15,1)),"")</f>
        <v/>
      </c>
      <c r="C75" s="14">
        <f>IFERROR(INDEX(LO_TRINH!$I$4:$I$15,MATCH(A75,LO_TRINH!$B$4:$B$15,1)),0)</f>
        <v/>
      </c>
      <c r="D75" s="43" t="n"/>
      <c r="E75" s="11">
        <f>IF(OR(C75=0,D75=""),"",D75/C75)</f>
        <v/>
      </c>
      <c r="F75" s="43" t="n"/>
      <c r="G75" s="43" t="n"/>
      <c r="H75" s="43" t="n"/>
      <c r="I75" s="43" t="n"/>
      <c r="J75" s="15">
        <f>IF(OR(F75="",F75=0),"",G75/F75)</f>
        <v/>
      </c>
      <c r="K75" s="37">
        <f>IF(OR(G75="",G75=0),"",H75/G75)</f>
        <v/>
      </c>
      <c r="L75" s="7" t="n"/>
    </row>
    <row r="76">
      <c r="A76" s="25" t="n">
        <v>46385</v>
      </c>
      <c r="B76" s="14">
        <f>IFERROR(INDEX(LO_TRINH!$A$4:$A$15,MATCH(A76,LO_TRINH!$B$4:$B$15,1)),"")</f>
        <v/>
      </c>
      <c r="C76" s="14">
        <f>IFERROR(INDEX(LO_TRINH!$I$4:$I$15,MATCH(A76,LO_TRINH!$B$4:$B$15,1)),0)</f>
        <v/>
      </c>
      <c r="D76" s="43" t="n"/>
      <c r="E76" s="11">
        <f>IF(OR(C76=0,D76=""),"",D76/C76)</f>
        <v/>
      </c>
      <c r="F76" s="43" t="n"/>
      <c r="G76" s="43" t="n"/>
      <c r="H76" s="43" t="n"/>
      <c r="I76" s="43" t="n"/>
      <c r="J76" s="15">
        <f>IF(OR(F76="",F76=0),"",G76/F76)</f>
        <v/>
      </c>
      <c r="K76" s="37">
        <f>IF(OR(G76="",G76=0),"",H76/G76)</f>
        <v/>
      </c>
      <c r="L76" s="7" t="n"/>
    </row>
    <row r="77">
      <c r="A77" s="25" t="n">
        <v>46386</v>
      </c>
      <c r="B77" s="14">
        <f>IFERROR(INDEX(LO_TRINH!$A$4:$A$15,MATCH(A77,LO_TRINH!$B$4:$B$15,1)),"")</f>
        <v/>
      </c>
      <c r="C77" s="14">
        <f>IFERROR(INDEX(LO_TRINH!$I$4:$I$15,MATCH(A77,LO_TRINH!$B$4:$B$15,1)),0)</f>
        <v/>
      </c>
      <c r="D77" s="43" t="n"/>
      <c r="E77" s="11">
        <f>IF(OR(C77=0,D77=""),"",D77/C77)</f>
        <v/>
      </c>
      <c r="F77" s="43" t="n"/>
      <c r="G77" s="43" t="n"/>
      <c r="H77" s="43" t="n"/>
      <c r="I77" s="43" t="n"/>
      <c r="J77" s="15">
        <f>IF(OR(F77="",F77=0),"",G77/F77)</f>
        <v/>
      </c>
      <c r="K77" s="37">
        <f>IF(OR(G77="",G77=0),"",H77/G77)</f>
        <v/>
      </c>
      <c r="L77" s="7" t="n"/>
    </row>
    <row r="78">
      <c r="A78" s="25" t="n">
        <v>46387</v>
      </c>
      <c r="B78" s="14">
        <f>IFERROR(INDEX(LO_TRINH!$A$4:$A$15,MATCH(A78,LO_TRINH!$B$4:$B$15,1)),"")</f>
        <v/>
      </c>
      <c r="C78" s="14">
        <f>IFERROR(INDEX(LO_TRINH!$I$4:$I$15,MATCH(A78,LO_TRINH!$B$4:$B$15,1)),0)</f>
        <v/>
      </c>
      <c r="D78" s="43" t="n"/>
      <c r="E78" s="11">
        <f>IF(OR(C78=0,D78=""),"",D78/C78)</f>
        <v/>
      </c>
      <c r="F78" s="43" t="n"/>
      <c r="G78" s="43" t="n"/>
      <c r="H78" s="43" t="n"/>
      <c r="I78" s="43" t="n"/>
      <c r="J78" s="15">
        <f>IF(OR(F78="",F78=0),"",G78/F78)</f>
        <v/>
      </c>
      <c r="K78" s="37">
        <f>IF(OR(G78="",G78=0),"",H78/G78)</f>
        <v/>
      </c>
      <c r="L78" s="7" t="n"/>
    </row>
    <row r="79">
      <c r="A79" s="25" t="n">
        <v>46388</v>
      </c>
      <c r="B79" s="14">
        <f>IFERROR(INDEX(LO_TRINH!$A$4:$A$15,MATCH(A79,LO_TRINH!$B$4:$B$15,1)),"")</f>
        <v/>
      </c>
      <c r="C79" s="14">
        <f>IFERROR(INDEX(LO_TRINH!$I$4:$I$15,MATCH(A79,LO_TRINH!$B$4:$B$15,1)),0)</f>
        <v/>
      </c>
      <c r="D79" s="43" t="n"/>
      <c r="E79" s="11">
        <f>IF(OR(C79=0,D79=""),"",D79/C79)</f>
        <v/>
      </c>
      <c r="F79" s="43" t="n"/>
      <c r="G79" s="43" t="n"/>
      <c r="H79" s="43" t="n"/>
      <c r="I79" s="43" t="n"/>
      <c r="J79" s="15">
        <f>IF(OR(F79="",F79=0),"",G79/F79)</f>
        <v/>
      </c>
      <c r="K79" s="37">
        <f>IF(OR(G79="",G79=0),"",H79/G79)</f>
        <v/>
      </c>
      <c r="L79" s="7" t="n"/>
    </row>
    <row r="80">
      <c r="A80" s="25" t="n">
        <v>46389</v>
      </c>
      <c r="B80" s="14">
        <f>IFERROR(INDEX(LO_TRINH!$A$4:$A$15,MATCH(A80,LO_TRINH!$B$4:$B$15,1)),"")</f>
        <v/>
      </c>
      <c r="C80" s="14">
        <f>IFERROR(INDEX(LO_TRINH!$I$4:$I$15,MATCH(A80,LO_TRINH!$B$4:$B$15,1)),0)</f>
        <v/>
      </c>
      <c r="D80" s="43" t="n"/>
      <c r="E80" s="11">
        <f>IF(OR(C80=0,D80=""),"",D80/C80)</f>
        <v/>
      </c>
      <c r="F80" s="43" t="n"/>
      <c r="G80" s="43" t="n"/>
      <c r="H80" s="43" t="n"/>
      <c r="I80" s="43" t="n"/>
      <c r="J80" s="15">
        <f>IF(OR(F80="",F80=0),"",G80/F80)</f>
        <v/>
      </c>
      <c r="K80" s="37">
        <f>IF(OR(G80="",G80=0),"",H80/G80)</f>
        <v/>
      </c>
      <c r="L80" s="7" t="n"/>
    </row>
    <row r="81">
      <c r="A81" s="25" t="n">
        <v>46390</v>
      </c>
      <c r="B81" s="14">
        <f>IFERROR(INDEX(LO_TRINH!$A$4:$A$15,MATCH(A81,LO_TRINH!$B$4:$B$15,1)),"")</f>
        <v/>
      </c>
      <c r="C81" s="14">
        <f>IFERROR(INDEX(LO_TRINH!$I$4:$I$15,MATCH(A81,LO_TRINH!$B$4:$B$15,1)),0)</f>
        <v/>
      </c>
      <c r="D81" s="43" t="n"/>
      <c r="E81" s="11">
        <f>IF(OR(C81=0,D81=""),"",D81/C81)</f>
        <v/>
      </c>
      <c r="F81" s="43" t="n"/>
      <c r="G81" s="43" t="n"/>
      <c r="H81" s="43" t="n"/>
      <c r="I81" s="43" t="n"/>
      <c r="J81" s="15">
        <f>IF(OR(F81="",F81=0),"",G81/F81)</f>
        <v/>
      </c>
      <c r="K81" s="37">
        <f>IF(OR(G81="",G81=0),"",H81/G81)</f>
        <v/>
      </c>
      <c r="L81" s="7" t="n"/>
    </row>
    <row r="82">
      <c r="A82" s="25" t="n">
        <v>46391</v>
      </c>
      <c r="B82" s="14">
        <f>IFERROR(INDEX(LO_TRINH!$A$4:$A$15,MATCH(A82,LO_TRINH!$B$4:$B$15,1)),"")</f>
        <v/>
      </c>
      <c r="C82" s="14">
        <f>IFERROR(INDEX(LO_TRINH!$I$4:$I$15,MATCH(A82,LO_TRINH!$B$4:$B$15,1)),0)</f>
        <v/>
      </c>
      <c r="D82" s="43" t="n"/>
      <c r="E82" s="11">
        <f>IF(OR(C82=0,D82=""),"",D82/C82)</f>
        <v/>
      </c>
      <c r="F82" s="43" t="n"/>
      <c r="G82" s="43" t="n"/>
      <c r="H82" s="43" t="n"/>
      <c r="I82" s="43" t="n"/>
      <c r="J82" s="15">
        <f>IF(OR(F82="",F82=0),"",G82/F82)</f>
        <v/>
      </c>
      <c r="K82" s="37">
        <f>IF(OR(G82="",G82=0),"",H82/G82)</f>
        <v/>
      </c>
      <c r="L82" s="7" t="n"/>
    </row>
    <row r="83">
      <c r="A83" s="25" t="n">
        <v>46392</v>
      </c>
      <c r="B83" s="14">
        <f>IFERROR(INDEX(LO_TRINH!$A$4:$A$15,MATCH(A83,LO_TRINH!$B$4:$B$15,1)),"")</f>
        <v/>
      </c>
      <c r="C83" s="14">
        <f>IFERROR(INDEX(LO_TRINH!$I$4:$I$15,MATCH(A83,LO_TRINH!$B$4:$B$15,1)),0)</f>
        <v/>
      </c>
      <c r="D83" s="43" t="n"/>
      <c r="E83" s="11">
        <f>IF(OR(C83=0,D83=""),"",D83/C83)</f>
        <v/>
      </c>
      <c r="F83" s="43" t="n"/>
      <c r="G83" s="43" t="n"/>
      <c r="H83" s="43" t="n"/>
      <c r="I83" s="43" t="n"/>
      <c r="J83" s="15">
        <f>IF(OR(F83="",F83=0),"",G83/F83)</f>
        <v/>
      </c>
      <c r="K83" s="37">
        <f>IF(OR(G83="",G83=0),"",H83/G83)</f>
        <v/>
      </c>
      <c r="L83" s="7" t="n"/>
    </row>
    <row r="84">
      <c r="A84" s="25" t="n">
        <v>46393</v>
      </c>
      <c r="B84" s="14">
        <f>IFERROR(INDEX(LO_TRINH!$A$4:$A$15,MATCH(A84,LO_TRINH!$B$4:$B$15,1)),"")</f>
        <v/>
      </c>
      <c r="C84" s="14">
        <f>IFERROR(INDEX(LO_TRINH!$I$4:$I$15,MATCH(A84,LO_TRINH!$B$4:$B$15,1)),0)</f>
        <v/>
      </c>
      <c r="D84" s="43" t="n"/>
      <c r="E84" s="11">
        <f>IF(OR(C84=0,D84=""),"",D84/C84)</f>
        <v/>
      </c>
      <c r="F84" s="43" t="n"/>
      <c r="G84" s="43" t="n"/>
      <c r="H84" s="43" t="n"/>
      <c r="I84" s="43" t="n"/>
      <c r="J84" s="15">
        <f>IF(OR(F84="",F84=0),"",G84/F84)</f>
        <v/>
      </c>
      <c r="K84" s="37">
        <f>IF(OR(G84="",G84=0),"",H84/G84)</f>
        <v/>
      </c>
      <c r="L84" s="7" t="n"/>
    </row>
    <row r="85">
      <c r="A85" s="25" t="n">
        <v>46394</v>
      </c>
      <c r="B85" s="14">
        <f>IFERROR(INDEX(LO_TRINH!$A$4:$A$15,MATCH(A85,LO_TRINH!$B$4:$B$15,1)),"")</f>
        <v/>
      </c>
      <c r="C85" s="14">
        <f>IFERROR(INDEX(LO_TRINH!$I$4:$I$15,MATCH(A85,LO_TRINH!$B$4:$B$15,1)),0)</f>
        <v/>
      </c>
      <c r="D85" s="43" t="n"/>
      <c r="E85" s="11">
        <f>IF(OR(C85=0,D85=""),"",D85/C85)</f>
        <v/>
      </c>
      <c r="F85" s="43" t="n"/>
      <c r="G85" s="43" t="n"/>
      <c r="H85" s="43" t="n"/>
      <c r="I85" s="43" t="n"/>
      <c r="J85" s="15">
        <f>IF(OR(F85="",F85=0),"",G85/F85)</f>
        <v/>
      </c>
      <c r="K85" s="37">
        <f>IF(OR(G85="",G85=0),"",H85/G85)</f>
        <v/>
      </c>
      <c r="L85" s="7" t="n"/>
    </row>
    <row r="86">
      <c r="A86" s="25" t="n">
        <v>46395</v>
      </c>
      <c r="B86" s="14">
        <f>IFERROR(INDEX(LO_TRINH!$A$4:$A$15,MATCH(A86,LO_TRINH!$B$4:$B$15,1)),"")</f>
        <v/>
      </c>
      <c r="C86" s="14">
        <f>IFERROR(INDEX(LO_TRINH!$I$4:$I$15,MATCH(A86,LO_TRINH!$B$4:$B$15,1)),0)</f>
        <v/>
      </c>
      <c r="D86" s="43" t="n"/>
      <c r="E86" s="11">
        <f>IF(OR(C86=0,D86=""),"",D86/C86)</f>
        <v/>
      </c>
      <c r="F86" s="43" t="n"/>
      <c r="G86" s="43" t="n"/>
      <c r="H86" s="43" t="n"/>
      <c r="I86" s="43" t="n"/>
      <c r="J86" s="15">
        <f>IF(OR(F86="",F86=0),"",G86/F86)</f>
        <v/>
      </c>
      <c r="K86" s="37">
        <f>IF(OR(G86="",G86=0),"",H86/G86)</f>
        <v/>
      </c>
      <c r="L86" s="7" t="n"/>
    </row>
    <row r="87">
      <c r="A87" s="25" t="n">
        <v>46396</v>
      </c>
      <c r="B87" s="14">
        <f>IFERROR(INDEX(LO_TRINH!$A$4:$A$15,MATCH(A87,LO_TRINH!$B$4:$B$15,1)),"")</f>
        <v/>
      </c>
      <c r="C87" s="14">
        <f>IFERROR(INDEX(LO_TRINH!$I$4:$I$15,MATCH(A87,LO_TRINH!$B$4:$B$15,1)),0)</f>
        <v/>
      </c>
      <c r="D87" s="43" t="n"/>
      <c r="E87" s="11">
        <f>IF(OR(C87=0,D87=""),"",D87/C87)</f>
        <v/>
      </c>
      <c r="F87" s="43" t="n"/>
      <c r="G87" s="43" t="n"/>
      <c r="H87" s="43" t="n"/>
      <c r="I87" s="43" t="n"/>
      <c r="J87" s="15">
        <f>IF(OR(F87="",F87=0),"",G87/F87)</f>
        <v/>
      </c>
      <c r="K87" s="37">
        <f>IF(OR(G87="",G87=0),"",H87/G87)</f>
        <v/>
      </c>
      <c r="L87" s="7" t="n"/>
    </row>
    <row r="88">
      <c r="A88" s="25" t="n">
        <v>46397</v>
      </c>
      <c r="B88" s="14">
        <f>IFERROR(INDEX(LO_TRINH!$A$4:$A$15,MATCH(A88,LO_TRINH!$B$4:$B$15,1)),"")</f>
        <v/>
      </c>
      <c r="C88" s="14">
        <f>IFERROR(INDEX(LO_TRINH!$I$4:$I$15,MATCH(A88,LO_TRINH!$B$4:$B$15,1)),0)</f>
        <v/>
      </c>
      <c r="D88" s="43" t="n"/>
      <c r="E88" s="11">
        <f>IF(OR(C88=0,D88=""),"",D88/C88)</f>
        <v/>
      </c>
      <c r="F88" s="43" t="n"/>
      <c r="G88" s="43" t="n"/>
      <c r="H88" s="43" t="n"/>
      <c r="I88" s="43" t="n"/>
      <c r="J88" s="15">
        <f>IF(OR(F88="",F88=0),"",G88/F88)</f>
        <v/>
      </c>
      <c r="K88" s="37">
        <f>IF(OR(G88="",G88=0),"",H88/G88)</f>
        <v/>
      </c>
      <c r="L88" s="7" t="n"/>
    </row>
  </sheetData>
  <autoFilter ref="A4:L88"/>
  <conditionalFormatting sqref="E5:E88">
    <cfRule type="expression" priority="1" dxfId="0">
      <formula>AND(E5&lt;&gt;"",E5&lt;0.9)</formula>
    </cfRule>
  </conditionalFormatting>
  <conditionalFormatting sqref="A5:L88">
    <cfRule type="expression" priority="2" dxfId="10">
      <formula>$A5=TODAY()</formula>
    </cfRule>
  </conditionalFormatting>
  <pageMargins left="0.75" right="0.75" top="1" bottom="1" header="0.5" footer="0.5"/>
</worksheet>
</file>

<file path=xl/worksheets/sheet12.xml><?xml version="1.0" encoding="utf-8"?>
<worksheet xmlns="http://schemas.openxmlformats.org/spreadsheetml/2006/main">
  <sheetPr>
    <tabColor rgb="00EA580C"/>
    <outlinePr summaryBelow="1" summaryRight="1"/>
    <pageSetUpPr/>
  </sheetPr>
  <dimension ref="A1:H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66" customWidth="1" min="2" max="2"/>
    <col width="30" customWidth="1" min="3" max="3"/>
    <col width="18" customWidth="1" min="4" max="4"/>
    <col width="12" customWidth="1" min="5" max="5"/>
    <col width="13" customWidth="1" min="6" max="6"/>
    <col width="14" customWidth="1" min="7" max="7"/>
    <col width="30" customWidth="1" min="8" max="8"/>
  </cols>
  <sheetData>
    <row r="1">
      <c r="A1" s="1" t="inlineStr">
        <is>
          <t>BẢNG CÔNG VIỆC &amp; GIAO VIỆC</t>
        </is>
      </c>
    </row>
    <row r="2">
      <c r="A2" s="2" t="inlineStr">
        <is>
          <t>Việc thiết lập và mốc lớn. Việc quá hạn chưa xong tự tô đỏ. Thêm việc mới ở dòng trống bên dưới.</t>
        </is>
      </c>
    </row>
    <row r="4" ht="30" customHeight="1">
      <c r="A4" s="13" t="inlineStr">
        <is>
          <t>Mã</t>
        </is>
      </c>
      <c r="B4" s="13" t="inlineStr">
        <is>
          <t>Việc</t>
        </is>
      </c>
      <c r="C4" s="13" t="inlineStr">
        <is>
          <t>Vai trò phụ trách</t>
        </is>
      </c>
      <c r="D4" s="13" t="inlineStr">
        <is>
          <t>Người làm</t>
        </is>
      </c>
      <c r="E4" s="13" t="inlineStr">
        <is>
          <t>Hạn</t>
        </is>
      </c>
      <c r="F4" s="13" t="inlineStr">
        <is>
          <t>Trạng thái</t>
        </is>
      </c>
      <c r="G4" s="13" t="inlineStr">
        <is>
          <t>Giai đoạn</t>
        </is>
      </c>
      <c r="H4" s="13" t="inlineStr">
        <is>
          <t>Ghi chú</t>
        </is>
      </c>
    </row>
    <row r="5">
      <c r="A5" s="24" t="inlineStr">
        <is>
          <t>T01</t>
        </is>
      </c>
      <c r="B5" s="5" t="inlineStr">
        <is>
          <t>Chốt người làm R1–R4, điền tên vào NHAN_SU</t>
        </is>
      </c>
      <c r="C5" s="5" t="inlineStr">
        <is>
          <t>R1 · Điều phối kiêm trưởng nội dung</t>
        </is>
      </c>
      <c r="D5" s="7" t="n"/>
      <c r="E5" s="42" t="n">
        <v>46311</v>
      </c>
      <c r="F5" s="26" t="inlineStr">
        <is>
          <t>Chưa làm</t>
        </is>
      </c>
      <c r="G5" s="23" t="inlineStr">
        <is>
          <t>Giai đoạn 0</t>
        </is>
      </c>
      <c r="H5" s="7" t="n"/>
    </row>
    <row r="6">
      <c r="A6" s="24" t="inlineStr">
        <is>
          <t>T02</t>
        </is>
      </c>
      <c r="B6" s="5" t="inlineStr">
        <is>
          <t>Kiểm tra 22 link Shopee: còn hàng, đúng giá và hoa hồng; đổi “Trạng thái link” sang OK</t>
        </is>
      </c>
      <c r="C6" s="5" t="inlineStr">
        <is>
          <t>R4 · Đăng bài, cộng đồng &amp; dữ liệu</t>
        </is>
      </c>
      <c r="D6" s="7" t="n"/>
      <c r="E6" s="42" t="n">
        <v>46312</v>
      </c>
      <c r="F6" s="26" t="inlineStr">
        <is>
          <t>Chưa làm</t>
        </is>
      </c>
      <c r="G6" s="23" t="inlineStr">
        <is>
          <t>Giai đoạn 0</t>
        </is>
      </c>
      <c r="H6" s="7" t="n"/>
    </row>
    <row r="7">
      <c r="A7" s="24" t="inlineStr">
        <is>
          <t>T03</t>
        </is>
      </c>
      <c r="B7" s="5" t="inlineStr">
        <is>
          <t>Thử lấy link gel bôi trơn bằng tay trên app Shopee (crawler không sao chép được); kiểm tra giá hộp 12 của bao cao su Durex</t>
        </is>
      </c>
      <c r="C7" s="5" t="inlineStr">
        <is>
          <t>R4 · Đăng bài, cộng đồng &amp; dữ liệu</t>
        </is>
      </c>
      <c r="D7" s="7" t="n"/>
      <c r="E7" s="42" t="n">
        <v>46312</v>
      </c>
      <c r="F7" s="26" t="inlineStr">
        <is>
          <t>Chưa làm</t>
        </is>
      </c>
      <c r="G7" s="23" t="inlineStr">
        <is>
          <t>Giai đoạn 0</t>
        </is>
      </c>
      <c r="H7" s="7" t="n"/>
    </row>
    <row r="8">
      <c r="A8" s="24" t="inlineStr">
        <is>
          <t>T04</t>
        </is>
      </c>
      <c r="B8" s="5" t="inlineStr">
        <is>
          <t>Viết khuôn master prompt “hỏi đáp gắn SP” (nhắc sản phẩm 1 lần cuối video) và khuôn review 50s</t>
        </is>
      </c>
      <c r="C8" s="5" t="inlineStr">
        <is>
          <t>R1 · Điều phối kiêm trưởng nội dung</t>
        </is>
      </c>
      <c r="D8" s="7" t="n"/>
      <c r="E8" s="42" t="n">
        <v>46312</v>
      </c>
      <c r="F8" s="26" t="inlineStr">
        <is>
          <t>Chưa làm</t>
        </is>
      </c>
      <c r="G8" s="23" t="inlineStr">
        <is>
          <t>Giai đoạn 0</t>
        </is>
      </c>
      <c r="H8" s="7" t="n"/>
    </row>
    <row r="9">
      <c r="A9" s="24" t="inlineStr">
        <is>
          <t>T05</t>
        </is>
      </c>
      <c r="B9" s="5" t="inlineStr">
        <is>
          <t>Bảng từ cấm + câu bắt buộc cho thực phẩm chức năng</t>
        </is>
      </c>
      <c r="C9" s="5" t="inlineStr">
        <is>
          <t>R1 · Điều phối kiêm trưởng nội dung</t>
        </is>
      </c>
      <c r="D9" s="7" t="n"/>
      <c r="E9" s="42" t="n">
        <v>46312</v>
      </c>
      <c r="F9" s="26" t="inlineStr">
        <is>
          <t>Chưa làm</t>
        </is>
      </c>
      <c r="G9" s="23" t="inlineStr">
        <is>
          <t>Giai đoạn 0</t>
        </is>
      </c>
      <c r="H9" s="7" t="n"/>
    </row>
    <row r="10">
      <c r="A10" s="24" t="inlineStr">
        <is>
          <t>T06</t>
        </is>
      </c>
      <c r="B10" s="5" t="inlineStr">
        <is>
          <t>Tạo script postiz-gioi-tinh.py: 8 khung giờ, link kèm Sub_id ở bình luận gốc</t>
        </is>
      </c>
      <c r="C10" s="5" t="inlineStr">
        <is>
          <t>R4 · Đăng bài, cộng đồng &amp; dữ liệu</t>
        </is>
      </c>
      <c r="D10" s="7" t="n"/>
      <c r="E10" s="42" t="n">
        <v>46313</v>
      </c>
      <c r="F10" s="26" t="inlineStr">
        <is>
          <t>Chưa làm</t>
        </is>
      </c>
      <c r="G10" s="23" t="inlineStr">
        <is>
          <t>Giai đoạn 0</t>
        </is>
      </c>
      <c r="H10" s="7" t="n"/>
    </row>
    <row r="11">
      <c r="A11" s="24" t="inlineStr">
        <is>
          <t>T07</t>
        </is>
      </c>
      <c r="B11" s="5" t="inlineStr">
        <is>
          <t>Đệm 2 ngày: 12 video (lô 20/10 có video quà cho vợ)</t>
        </is>
      </c>
      <c r="C11" s="5" t="inlineStr">
        <is>
          <t>R3 · Sản xuất video (Viral Studio)</t>
        </is>
      </c>
      <c r="D11" s="7" t="n"/>
      <c r="E11" s="42" t="n">
        <v>46313</v>
      </c>
      <c r="F11" s="26" t="inlineStr">
        <is>
          <t>Chưa làm</t>
        </is>
      </c>
      <c r="G11" s="23" t="inlineStr">
        <is>
          <t>Giai đoạn 0</t>
        </is>
      </c>
      <c r="H11" s="7" t="n"/>
    </row>
    <row r="12">
      <c r="A12" s="24" t="inlineStr">
        <is>
          <t>T08</t>
        </is>
      </c>
      <c r="B12" s="5" t="inlineStr">
        <is>
          <t>Lấy số liệu nền 30 ngày của page: view TB/video, click, đơn → thay giả định ở DU_BAO</t>
        </is>
      </c>
      <c r="C12" s="5" t="inlineStr">
        <is>
          <t>R4 · Đăng bài, cộng đồng &amp; dữ liệu</t>
        </is>
      </c>
      <c r="D12" s="7" t="n"/>
      <c r="E12" s="42" t="n">
        <v>46313</v>
      </c>
      <c r="F12" s="26" t="inlineStr">
        <is>
          <t>Chưa làm</t>
        </is>
      </c>
      <c r="G12" s="23" t="inlineStr">
        <is>
          <t>Giai đoạn 0</t>
        </is>
      </c>
      <c r="H12" s="7" t="n"/>
    </row>
    <row r="13">
      <c r="A13" s="24" t="inlineStr">
        <is>
          <t>T09</t>
        </is>
      </c>
      <c r="B13" s="5" t="inlineStr">
        <is>
          <t>Chạy thử trọn 1 video hỏi đáp gắn SP + 1 review → qua cửa giai đoạn 0</t>
        </is>
      </c>
      <c r="C13" s="5" t="inlineStr">
        <is>
          <t>R1 · Điều phối kiêm trưởng nội dung</t>
        </is>
      </c>
      <c r="D13" s="7" t="n"/>
      <c r="E13" s="42" t="n">
        <v>46313</v>
      </c>
      <c r="F13" s="26" t="inlineStr">
        <is>
          <t>Chưa làm</t>
        </is>
      </c>
      <c r="G13" s="23" t="inlineStr">
        <is>
          <t>Giai đoạn 0</t>
        </is>
      </c>
      <c r="H13" s="7" t="n"/>
    </row>
    <row r="14">
      <c r="A14" s="24" t="inlineStr">
        <is>
          <t>T10</t>
        </is>
      </c>
      <c r="B14" s="5" t="inlineStr">
        <is>
          <t>Đăng video 20/10 “tặng vợ tuổi 50 cái gì”</t>
        </is>
      </c>
      <c r="C14" s="5" t="inlineStr">
        <is>
          <t>R4 · Đăng bài, cộng đồng &amp; dữ liệu</t>
        </is>
      </c>
      <c r="D14" s="7" t="n"/>
      <c r="E14" s="42" t="n">
        <v>46315</v>
      </c>
      <c r="F14" s="26" t="inlineStr">
        <is>
          <t>Chưa làm</t>
        </is>
      </c>
      <c r="G14" s="23" t="inlineStr">
        <is>
          <t>Giai đoạn 1</t>
        </is>
      </c>
      <c r="H14" s="7" t="n"/>
    </row>
    <row r="15">
      <c r="A15" s="24" t="inlineStr">
        <is>
          <t>T11</t>
        </is>
      </c>
      <c r="B15" s="5" t="inlineStr">
        <is>
          <t>Kịch bản 11.11 (review giá cao, combo)</t>
        </is>
      </c>
      <c r="C15" s="5" t="inlineStr">
        <is>
          <t>R1 · Điều phối kiêm trưởng nội dung</t>
        </is>
      </c>
      <c r="D15" s="7" t="n"/>
      <c r="E15" s="42" t="n">
        <v>46331</v>
      </c>
      <c r="F15" s="26" t="inlineStr">
        <is>
          <t>Chưa làm</t>
        </is>
      </c>
      <c r="G15" s="23" t="inlineStr">
        <is>
          <t>Giai đoạn 2</t>
        </is>
      </c>
      <c r="H15" s="7" t="n"/>
    </row>
    <row r="16">
      <c r="A16" s="24" t="inlineStr">
        <is>
          <t>T12</t>
        </is>
      </c>
      <c r="B16" s="5" t="inlineStr">
        <is>
          <t>Kịch bản tuần 19/11 Ngày Quốc tế Nam giới</t>
        </is>
      </c>
      <c r="C16" s="5" t="inlineStr">
        <is>
          <t>R1 · Điều phối kiêm trưởng nội dung</t>
        </is>
      </c>
      <c r="D16" s="7" t="n"/>
      <c r="E16" s="42" t="n">
        <v>46340</v>
      </c>
      <c r="F16" s="26" t="inlineStr">
        <is>
          <t>Chưa làm</t>
        </is>
      </c>
      <c r="G16" s="23" t="inlineStr">
        <is>
          <t>Giai đoạn 3</t>
        </is>
      </c>
      <c r="H16" s="7" t="n"/>
    </row>
    <row r="17">
      <c r="A17" s="24" t="inlineStr">
        <is>
          <t>T13</t>
        </is>
      </c>
      <c r="B17" s="5" t="inlineStr">
        <is>
          <t>Review tháng 1: chọn top sản phẩm theo Sub_id, cắt sản phẩm C yếu</t>
        </is>
      </c>
      <c r="C17" s="5" t="inlineStr">
        <is>
          <t>R1 · Điều phối kiêm trưởng nội dung</t>
        </is>
      </c>
      <c r="D17" s="7" t="n"/>
      <c r="E17" s="42" t="n">
        <v>46342</v>
      </c>
      <c r="F17" s="26" t="inlineStr">
        <is>
          <t>Chưa làm</t>
        </is>
      </c>
      <c r="G17" s="23" t="inlineStr">
        <is>
          <t>Giai đoạn 3</t>
        </is>
      </c>
      <c r="H17" s="7" t="n"/>
    </row>
    <row r="18">
      <c r="A18" s="24" t="inlineStr">
        <is>
          <t>T14</t>
        </is>
      </c>
      <c r="B18" s="5" t="inlineStr">
        <is>
          <t>Kịch bản Black Friday 27/11</t>
        </is>
      </c>
      <c r="C18" s="5" t="inlineStr">
        <is>
          <t>R1 · Điều phối kiêm trưởng nội dung</t>
        </is>
      </c>
      <c r="D18" s="7" t="n"/>
      <c r="E18" s="42" t="n">
        <v>46348</v>
      </c>
      <c r="F18" s="26" t="inlineStr">
        <is>
          <t>Chưa làm</t>
        </is>
      </c>
      <c r="G18" s="23" t="inlineStr">
        <is>
          <t>Giai đoạn 3</t>
        </is>
      </c>
      <c r="H18" s="7" t="n"/>
    </row>
    <row r="19">
      <c r="A19" s="24" t="inlineStr">
        <is>
          <t>T15</t>
        </is>
      </c>
      <c r="B19" s="5" t="inlineStr">
        <is>
          <t>Kịch bản 12.12 + Noel + tất niên</t>
        </is>
      </c>
      <c r="C19" s="5" t="inlineStr">
        <is>
          <t>R1 · Điều phối kiêm trưởng nội dung</t>
        </is>
      </c>
      <c r="D19" s="7" t="n"/>
      <c r="E19" s="42" t="n">
        <v>46359</v>
      </c>
      <c r="F19" s="26" t="inlineStr">
        <is>
          <t>Chưa làm</t>
        </is>
      </c>
      <c r="G19" s="23" t="inlineStr">
        <is>
          <t>Giai đoạn 4</t>
        </is>
      </c>
      <c r="H19" s="7" t="n"/>
    </row>
    <row r="20">
      <c r="A20" s="24" t="inlineStr">
        <is>
          <t>T16</t>
        </is>
      </c>
      <c r="B20" s="5" t="inlineStr">
        <is>
          <t>Kế hoạch nội dung Tết 2027: quà Tết cho ba, phủ bạc tóc</t>
        </is>
      </c>
      <c r="C20" s="5" t="inlineStr">
        <is>
          <t>R1 · Điều phối kiêm trưởng nội dung</t>
        </is>
      </c>
      <c r="D20" s="7" t="n"/>
      <c r="E20" s="42" t="n">
        <v>46376</v>
      </c>
      <c r="F20" s="26" t="inlineStr">
        <is>
          <t>Chưa làm</t>
        </is>
      </c>
      <c r="G20" s="23" t="inlineStr">
        <is>
          <t>Giai đoạn 4</t>
        </is>
      </c>
      <c r="H20" s="7" t="n"/>
    </row>
    <row r="21">
      <c r="A21" s="24" t="inlineStr">
        <is>
          <t>T17</t>
        </is>
      </c>
      <c r="B21" s="5" t="inlineStr">
        <is>
          <t>Review quý: quyết định mở kênh thứ hai cho cùng tệp nam 45+</t>
        </is>
      </c>
      <c r="C21" s="5" t="inlineStr">
        <is>
          <t>R1 · Điều phối kiêm trưởng nội dung</t>
        </is>
      </c>
      <c r="D21" s="7" t="n"/>
      <c r="E21" s="42" t="n">
        <v>46397</v>
      </c>
      <c r="F21" s="26" t="inlineStr">
        <is>
          <t>Chưa làm</t>
        </is>
      </c>
      <c r="G21" s="23" t="inlineStr">
        <is>
          <t>Giai đoạn 4</t>
        </is>
      </c>
      <c r="H21" s="7" t="n"/>
    </row>
    <row r="22">
      <c r="A22" s="24" t="n"/>
      <c r="B22" s="7" t="n"/>
      <c r="C22" s="7" t="n"/>
      <c r="D22" s="7" t="n"/>
      <c r="E22" s="42" t="n"/>
      <c r="F22" s="26" t="n"/>
      <c r="G22" s="23" t="n"/>
      <c r="H22" s="7" t="n"/>
    </row>
    <row r="23">
      <c r="A23" s="24" t="n"/>
      <c r="B23" s="7" t="n"/>
      <c r="C23" s="7" t="n"/>
      <c r="D23" s="7" t="n"/>
      <c r="E23" s="42" t="n"/>
      <c r="F23" s="26" t="n"/>
      <c r="G23" s="23" t="n"/>
      <c r="H23" s="7" t="n"/>
    </row>
    <row r="24">
      <c r="A24" s="24" t="n"/>
      <c r="B24" s="7" t="n"/>
      <c r="C24" s="7" t="n"/>
      <c r="D24" s="7" t="n"/>
      <c r="E24" s="42" t="n"/>
      <c r="F24" s="26" t="n"/>
      <c r="G24" s="23" t="n"/>
      <c r="H24" s="7" t="n"/>
    </row>
    <row r="25">
      <c r="A25" s="24" t="n"/>
      <c r="B25" s="7" t="n"/>
      <c r="C25" s="7" t="n"/>
      <c r="D25" s="7" t="n"/>
      <c r="E25" s="42" t="n"/>
      <c r="F25" s="26" t="n"/>
      <c r="G25" s="23" t="n"/>
      <c r="H25" s="7" t="n"/>
    </row>
    <row r="26">
      <c r="A26" s="24" t="n"/>
      <c r="B26" s="7" t="n"/>
      <c r="C26" s="7" t="n"/>
      <c r="D26" s="7" t="n"/>
      <c r="E26" s="42" t="n"/>
      <c r="F26" s="26" t="n"/>
      <c r="G26" s="23" t="n"/>
      <c r="H26" s="7" t="n"/>
    </row>
    <row r="27">
      <c r="A27" s="24" t="n"/>
      <c r="B27" s="7" t="n"/>
      <c r="C27" s="7" t="n"/>
      <c r="D27" s="7" t="n"/>
      <c r="E27" s="42" t="n"/>
      <c r="F27" s="26" t="n"/>
      <c r="G27" s="23" t="n"/>
      <c r="H27" s="7" t="n"/>
    </row>
    <row r="28">
      <c r="A28" s="24" t="n"/>
      <c r="B28" s="7" t="n"/>
      <c r="C28" s="7" t="n"/>
      <c r="D28" s="7" t="n"/>
      <c r="E28" s="42" t="n"/>
      <c r="F28" s="26" t="n"/>
      <c r="G28" s="23" t="n"/>
      <c r="H28" s="7" t="n"/>
    </row>
    <row r="29">
      <c r="A29" s="24" t="n"/>
      <c r="B29" s="7" t="n"/>
      <c r="C29" s="7" t="n"/>
      <c r="D29" s="7" t="n"/>
      <c r="E29" s="42" t="n"/>
      <c r="F29" s="26" t="n"/>
      <c r="G29" s="23" t="n"/>
      <c r="H29" s="7" t="n"/>
    </row>
    <row r="30">
      <c r="A30" s="24" t="n"/>
      <c r="B30" s="7" t="n"/>
      <c r="C30" s="7" t="n"/>
      <c r="D30" s="7" t="n"/>
      <c r="E30" s="42" t="n"/>
      <c r="F30" s="26" t="n"/>
      <c r="G30" s="23" t="n"/>
      <c r="H30" s="7" t="n"/>
    </row>
    <row r="31">
      <c r="A31" s="24" t="n"/>
      <c r="B31" s="7" t="n"/>
      <c r="C31" s="7" t="n"/>
      <c r="D31" s="7" t="n"/>
      <c r="E31" s="42" t="n"/>
      <c r="F31" s="26" t="n"/>
      <c r="G31" s="23" t="n"/>
      <c r="H31" s="7" t="n"/>
    </row>
    <row r="32">
      <c r="A32" s="24" t="n"/>
      <c r="B32" s="7" t="n"/>
      <c r="C32" s="7" t="n"/>
      <c r="D32" s="7" t="n"/>
      <c r="E32" s="42" t="n"/>
      <c r="F32" s="26" t="n"/>
      <c r="G32" s="23" t="n"/>
      <c r="H32" s="7" t="n"/>
    </row>
    <row r="33">
      <c r="A33" s="24" t="n"/>
      <c r="B33" s="7" t="n"/>
      <c r="C33" s="7" t="n"/>
      <c r="D33" s="7" t="n"/>
      <c r="E33" s="42" t="n"/>
      <c r="F33" s="26" t="n"/>
      <c r="G33" s="23" t="n"/>
      <c r="H33" s="7" t="n"/>
    </row>
    <row r="34">
      <c r="A34" s="24" t="n"/>
      <c r="B34" s="7" t="n"/>
      <c r="C34" s="7" t="n"/>
      <c r="D34" s="7" t="n"/>
      <c r="E34" s="42" t="n"/>
      <c r="F34" s="26" t="n"/>
      <c r="G34" s="23" t="n"/>
      <c r="H34" s="7" t="n"/>
    </row>
    <row r="35">
      <c r="A35" s="24" t="n"/>
      <c r="B35" s="7" t="n"/>
      <c r="C35" s="7" t="n"/>
      <c r="D35" s="7" t="n"/>
      <c r="E35" s="42" t="n"/>
      <c r="F35" s="26" t="n"/>
      <c r="G35" s="23" t="n"/>
      <c r="H35" s="7" t="n"/>
    </row>
    <row r="36">
      <c r="A36" s="24" t="n"/>
      <c r="B36" s="7" t="n"/>
      <c r="C36" s="7" t="n"/>
      <c r="D36" s="7" t="n"/>
      <c r="E36" s="42" t="n"/>
      <c r="F36" s="26" t="n"/>
      <c r="G36" s="23" t="n"/>
      <c r="H36" s="7" t="n"/>
    </row>
    <row r="37">
      <c r="A37" s="24" t="n"/>
      <c r="B37" s="7" t="n"/>
      <c r="C37" s="7" t="n"/>
      <c r="D37" s="7" t="n"/>
      <c r="E37" s="42" t="n"/>
      <c r="F37" s="26" t="n"/>
      <c r="G37" s="23" t="n"/>
      <c r="H37" s="7" t="n"/>
    </row>
    <row r="38">
      <c r="A38" s="24" t="n"/>
      <c r="B38" s="7" t="n"/>
      <c r="C38" s="7" t="n"/>
      <c r="D38" s="7" t="n"/>
      <c r="E38" s="42" t="n"/>
      <c r="F38" s="26" t="n"/>
      <c r="G38" s="23" t="n"/>
      <c r="H38" s="7" t="n"/>
    </row>
    <row r="39">
      <c r="A39" s="24" t="n"/>
      <c r="B39" s="7" t="n"/>
      <c r="C39" s="7" t="n"/>
      <c r="D39" s="7" t="n"/>
      <c r="E39" s="42" t="n"/>
      <c r="F39" s="26" t="n"/>
      <c r="G39" s="23" t="n"/>
      <c r="H39" s="7" t="n"/>
    </row>
    <row r="40">
      <c r="A40" s="24" t="n"/>
      <c r="B40" s="7" t="n"/>
      <c r="C40" s="7" t="n"/>
      <c r="D40" s="7" t="n"/>
      <c r="E40" s="42" t="n"/>
      <c r="F40" s="26" t="n"/>
      <c r="G40" s="23" t="n"/>
      <c r="H40" s="7" t="n"/>
    </row>
    <row r="41">
      <c r="A41" s="24" t="n"/>
      <c r="B41" s="7" t="n"/>
      <c r="C41" s="7" t="n"/>
      <c r="D41" s="7" t="n"/>
      <c r="E41" s="42" t="n"/>
      <c r="F41" s="26" t="n"/>
      <c r="G41" s="23" t="n"/>
      <c r="H41" s="7" t="n"/>
    </row>
    <row r="42">
      <c r="A42" s="24" t="n"/>
      <c r="B42" s="7" t="n"/>
      <c r="C42" s="7" t="n"/>
      <c r="D42" s="7" t="n"/>
      <c r="E42" s="42" t="n"/>
      <c r="F42" s="26" t="n"/>
      <c r="G42" s="23" t="n"/>
      <c r="H42" s="7" t="n"/>
    </row>
    <row r="43">
      <c r="A43" s="24" t="n"/>
      <c r="B43" s="7" t="n"/>
      <c r="C43" s="7" t="n"/>
      <c r="D43" s="7" t="n"/>
      <c r="E43" s="42" t="n"/>
      <c r="F43" s="26" t="n"/>
      <c r="G43" s="23" t="n"/>
      <c r="H43" s="7" t="n"/>
    </row>
    <row r="44">
      <c r="A44" s="24" t="n"/>
      <c r="B44" s="7" t="n"/>
      <c r="C44" s="7" t="n"/>
      <c r="D44" s="7" t="n"/>
      <c r="E44" s="42" t="n"/>
      <c r="F44" s="26" t="n"/>
      <c r="G44" s="23" t="n"/>
      <c r="H44" s="7" t="n"/>
    </row>
    <row r="45">
      <c r="A45" s="24" t="n"/>
      <c r="B45" s="7" t="n"/>
      <c r="C45" s="7" t="n"/>
      <c r="D45" s="7" t="n"/>
      <c r="E45" s="42" t="n"/>
      <c r="F45" s="26" t="n"/>
      <c r="G45" s="23" t="n"/>
      <c r="H45" s="7" t="n"/>
    </row>
    <row r="46">
      <c r="A46" s="24" t="n"/>
      <c r="B46" s="7" t="n"/>
      <c r="C46" s="7" t="n"/>
      <c r="D46" s="7" t="n"/>
      <c r="E46" s="42" t="n"/>
      <c r="F46" s="26" t="n"/>
      <c r="G46" s="23" t="n"/>
      <c r="H46" s="7" t="n"/>
    </row>
    <row r="47">
      <c r="A47" s="24" t="n"/>
      <c r="B47" s="7" t="n"/>
      <c r="C47" s="7" t="n"/>
      <c r="D47" s="7" t="n"/>
      <c r="E47" s="42" t="n"/>
      <c r="F47" s="26" t="n"/>
      <c r="G47" s="23" t="n"/>
      <c r="H47" s="7" t="n"/>
    </row>
    <row r="48">
      <c r="A48" s="24" t="n"/>
      <c r="B48" s="7" t="n"/>
      <c r="C48" s="7" t="n"/>
      <c r="D48" s="7" t="n"/>
      <c r="E48" s="42" t="n"/>
      <c r="F48" s="26" t="n"/>
      <c r="G48" s="23" t="n"/>
      <c r="H48" s="7" t="n"/>
    </row>
    <row r="49">
      <c r="A49" s="24" t="n"/>
      <c r="B49" s="7" t="n"/>
      <c r="C49" s="7" t="n"/>
      <c r="D49" s="7" t="n"/>
      <c r="E49" s="42" t="n"/>
      <c r="F49" s="26" t="n"/>
      <c r="G49" s="23" t="n"/>
      <c r="H49" s="7" t="n"/>
    </row>
    <row r="50">
      <c r="A50" s="24" t="n"/>
      <c r="B50" s="7" t="n"/>
      <c r="C50" s="7" t="n"/>
      <c r="D50" s="7" t="n"/>
      <c r="E50" s="42" t="n"/>
      <c r="F50" s="26" t="n"/>
      <c r="G50" s="23" t="n"/>
      <c r="H50" s="7" t="n"/>
    </row>
    <row r="51">
      <c r="A51" s="24" t="n"/>
      <c r="B51" s="7" t="n"/>
      <c r="C51" s="7" t="n"/>
      <c r="D51" s="7" t="n"/>
      <c r="E51" s="42" t="n"/>
      <c r="F51" s="26" t="n"/>
      <c r="G51" s="23" t="n"/>
      <c r="H51" s="7" t="n"/>
    </row>
    <row r="52">
      <c r="A52" s="24" t="n"/>
      <c r="B52" s="7" t="n"/>
      <c r="C52" s="7" t="n"/>
      <c r="D52" s="7" t="n"/>
      <c r="E52" s="42" t="n"/>
      <c r="F52" s="26" t="n"/>
      <c r="G52" s="23" t="n"/>
      <c r="H52" s="7" t="n"/>
    </row>
    <row r="53">
      <c r="A53" s="24" t="n"/>
      <c r="B53" s="7" t="n"/>
      <c r="C53" s="7" t="n"/>
      <c r="D53" s="7" t="n"/>
      <c r="E53" s="42" t="n"/>
      <c r="F53" s="26" t="n"/>
      <c r="G53" s="23" t="n"/>
      <c r="H53" s="7" t="n"/>
    </row>
    <row r="54">
      <c r="A54" s="24" t="n"/>
      <c r="B54" s="7" t="n"/>
      <c r="C54" s="7" t="n"/>
      <c r="D54" s="7" t="n"/>
      <c r="E54" s="42" t="n"/>
      <c r="F54" s="26" t="n"/>
      <c r="G54" s="23" t="n"/>
      <c r="H54" s="7" t="n"/>
    </row>
    <row r="55">
      <c r="A55" s="24" t="n"/>
      <c r="B55" s="7" t="n"/>
      <c r="C55" s="7" t="n"/>
      <c r="D55" s="7" t="n"/>
      <c r="E55" s="42" t="n"/>
      <c r="F55" s="26" t="n"/>
      <c r="G55" s="23" t="n"/>
      <c r="H55" s="7" t="n"/>
    </row>
    <row r="56">
      <c r="A56" s="24" t="n"/>
      <c r="B56" s="7" t="n"/>
      <c r="C56" s="7" t="n"/>
      <c r="D56" s="7" t="n"/>
      <c r="E56" s="42" t="n"/>
      <c r="F56" s="26" t="n"/>
      <c r="G56" s="23" t="n"/>
      <c r="H56" s="7" t="n"/>
    </row>
    <row r="57">
      <c r="A57" s="24" t="n"/>
      <c r="B57" s="7" t="n"/>
      <c r="C57" s="7" t="n"/>
      <c r="D57" s="7" t="n"/>
      <c r="E57" s="42" t="n"/>
      <c r="F57" s="26" t="n"/>
      <c r="G57" s="23" t="n"/>
      <c r="H57" s="7" t="n"/>
    </row>
    <row r="58">
      <c r="A58" s="24" t="n"/>
      <c r="B58" s="7" t="n"/>
      <c r="C58" s="7" t="n"/>
      <c r="D58" s="7" t="n"/>
      <c r="E58" s="42" t="n"/>
      <c r="F58" s="26" t="n"/>
      <c r="G58" s="23" t="n"/>
      <c r="H58" s="7" t="n"/>
    </row>
    <row r="59">
      <c r="A59" s="24" t="n"/>
      <c r="B59" s="7" t="n"/>
      <c r="C59" s="7" t="n"/>
      <c r="D59" s="7" t="n"/>
      <c r="E59" s="42" t="n"/>
      <c r="F59" s="26" t="n"/>
      <c r="G59" s="23" t="n"/>
      <c r="H59" s="7" t="n"/>
    </row>
    <row r="60">
      <c r="A60" s="24" t="n"/>
      <c r="B60" s="7" t="n"/>
      <c r="C60" s="7" t="n"/>
      <c r="D60" s="7" t="n"/>
      <c r="E60" s="42" t="n"/>
      <c r="F60" s="26" t="n"/>
      <c r="G60" s="23" t="n"/>
      <c r="H60" s="7" t="n"/>
    </row>
  </sheetData>
  <autoFilter ref="A4:H60"/>
  <conditionalFormatting sqref="A5:H60">
    <cfRule type="expression" priority="1" dxfId="0">
      <formula>AND($E5&lt;&gt;"",$E5&lt;TODAY(),$F5&lt;&gt;"Xong")</formula>
    </cfRule>
  </conditionalFormatting>
  <conditionalFormatting sqref="F5:F60">
    <cfRule type="cellIs" priority="2" operator="equal" dxfId="2">
      <formula>"Xong"</formula>
    </cfRule>
  </conditionalFormatting>
  <dataValidations count="1">
    <dataValidation sqref="F5:F60" showDropDown="0" showInputMessage="0" showErrorMessage="0" allowBlank="1" type="list">
      <formula1>"Chưa làm,Đang làm,Xong,Bị chặn"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36" customWidth="1" min="1" max="1"/>
    <col width="14" customWidth="1" min="2" max="2"/>
    <col width="14" customWidth="1" min="3" max="3"/>
    <col width="12" customWidth="1" min="4" max="4"/>
    <col width="10" customWidth="1" min="5" max="5"/>
    <col width="16" customWidth="1" min="6" max="6"/>
    <col width="16" customWidth="1" min="7" max="7"/>
    <col width="12" customWidth="1" min="8" max="8"/>
  </cols>
  <sheetData>
    <row r="1">
      <c r="A1" s="1" t="inlineStr">
        <is>
          <t>DỰ BÁO HOA HỒNG THEO LỘ TRÌNH</t>
        </is>
      </c>
    </row>
    <row r="2">
      <c r="A2" s="2" t="inlineStr">
        <is>
          <t>Ô xanh dương là GIẢ ĐỊNH – thay bằng số thực của page sau 2 tuần (lấy từ THEO_DOI_NGAY). Cột “Thực tế” tự cộng từ số liệu nhập.</t>
        </is>
      </c>
    </row>
    <row r="3">
      <c r="A3" s="3" t="inlineStr">
        <is>
          <t>Giả định</t>
        </is>
      </c>
    </row>
    <row r="4">
      <c r="A4" s="4" t="inlineStr">
        <is>
          <t>View trung bình/video</t>
        </is>
      </c>
      <c r="B4" s="43" t="n">
        <v>5000</v>
      </c>
      <c r="C4" s="28" t="inlineStr">
        <is>
          <t>Giả định – chưa có số thật của page. Thay bằng view TB thực tế (việc T08).</t>
        </is>
      </c>
      <c r="D4" s="21" t="n"/>
      <c r="E4" s="21" t="n"/>
      <c r="F4" s="21" t="n"/>
      <c r="G4" s="21" t="n"/>
      <c r="H4" s="22" t="n"/>
    </row>
    <row r="5">
      <c r="A5" s="4" t="inlineStr">
        <is>
          <t>Tỷ lệ click link/view</t>
        </is>
      </c>
      <c r="B5" s="44" t="n">
        <v>0.005</v>
      </c>
      <c r="C5" s="28" t="inlineStr">
        <is>
          <t>Giả định 0,5% (link ở bình luận). Ngưỡng cảnh báo 0,3% ở KPI_QUY_TAC.</t>
        </is>
      </c>
      <c r="D5" s="21" t="n"/>
      <c r="E5" s="21" t="n"/>
      <c r="F5" s="21" t="n"/>
      <c r="G5" s="21" t="n"/>
      <c r="H5" s="22" t="n"/>
    </row>
    <row r="6">
      <c r="A6" s="4" t="inlineStr">
        <is>
          <t>Tỷ lệ ra đơn/click</t>
        </is>
      </c>
      <c r="B6" s="45" t="n">
        <v>0.03</v>
      </c>
      <c r="C6" s="28" t="inlineStr">
        <is>
          <t>Giả định 3% cho thực phẩm chức năng, đồ dùng 150–500k.</t>
        </is>
      </c>
      <c r="D6" s="21" t="n"/>
      <c r="E6" s="21" t="n"/>
      <c r="F6" s="21" t="n"/>
      <c r="G6" s="21" t="n"/>
      <c r="H6" s="22" t="n"/>
    </row>
    <row r="7">
      <c r="A7" s="4" t="inlineStr">
        <is>
          <t>Hoa hồng TB/đơn (SP hạng A)</t>
        </is>
      </c>
      <c r="B7" s="10">
        <f>IFERROR(AVERAGEIF(SAN_PHAM!$J$5:$J$26,"A",SAN_PHAM!$G$5:$G$26),AVERAGE(SAN_PHAM!$G$5:$G$26))</f>
        <v/>
      </c>
      <c r="C7" s="28" t="inlineStr">
        <is>
          <t>Tự tính: trung bình HH/đơn của sản phẩm hạng A ở SAN_PHAM (theo Shopee).</t>
        </is>
      </c>
      <c r="D7" s="21" t="n"/>
      <c r="E7" s="21" t="n"/>
      <c r="F7" s="21" t="n"/>
      <c r="G7" s="21" t="n"/>
      <c r="H7" s="22" t="n"/>
    </row>
    <row r="10" ht="30" customHeight="1">
      <c r="A10" s="13" t="inlineStr">
        <is>
          <t>Tuần</t>
        </is>
      </c>
      <c r="B10" s="13" t="inlineStr">
        <is>
          <t>Video/tuần</t>
        </is>
      </c>
      <c r="C10" s="13" t="inlineStr">
        <is>
          <t>View dự kiến</t>
        </is>
      </c>
      <c r="D10" s="13" t="inlineStr">
        <is>
          <t>Click</t>
        </is>
      </c>
      <c r="E10" s="13" t="inlineStr">
        <is>
          <t>Đơn</t>
        </is>
      </c>
      <c r="F10" s="13" t="inlineStr">
        <is>
          <t>Hoa hồng dự kiến (đ)</t>
        </is>
      </c>
      <c r="G10" s="13" t="inlineStr">
        <is>
          <t>Hoa hồng thực tế (đ)</t>
        </is>
      </c>
      <c r="H10" s="13" t="inlineStr">
        <is>
          <t>Thực tế/Dự kiến</t>
        </is>
      </c>
    </row>
    <row r="11">
      <c r="A11" s="8">
        <f>"Tuần "&amp;LO_TRINH!A4&amp;" ("&amp;TEXT(LO_TRINH!B4,"dd/mm")&amp;")"</f>
        <v/>
      </c>
      <c r="B11" s="10">
        <f>LO_TRINH!J4</f>
        <v/>
      </c>
      <c r="C11" s="12">
        <f>B11*$B$4</f>
        <v/>
      </c>
      <c r="D11" s="12">
        <f>C11*$B$5</f>
        <v/>
      </c>
      <c r="E11" s="12">
        <f>D11*$B$6</f>
        <v/>
      </c>
      <c r="F11" s="12">
        <f>E11*$B$7</f>
        <v/>
      </c>
      <c r="G11" s="10">
        <f>SUMIFS(THEO_DOI_NGAY!$I$5:$I$88,THEO_DOI_NGAY!$B$5:$B$88,LO_TRINH!A4)</f>
        <v/>
      </c>
      <c r="H11" s="11">
        <f>IF(F11=0,"",G11/F11)</f>
        <v/>
      </c>
    </row>
    <row r="12">
      <c r="A12" s="8">
        <f>"Tuần "&amp;LO_TRINH!A5&amp;" ("&amp;TEXT(LO_TRINH!B5,"dd/mm")&amp;")"</f>
        <v/>
      </c>
      <c r="B12" s="10">
        <f>LO_TRINH!J5</f>
        <v/>
      </c>
      <c r="C12" s="12">
        <f>B12*$B$4</f>
        <v/>
      </c>
      <c r="D12" s="12">
        <f>C12*$B$5</f>
        <v/>
      </c>
      <c r="E12" s="12">
        <f>D12*$B$6</f>
        <v/>
      </c>
      <c r="F12" s="12">
        <f>E12*$B$7</f>
        <v/>
      </c>
      <c r="G12" s="10">
        <f>SUMIFS(THEO_DOI_NGAY!$I$5:$I$88,THEO_DOI_NGAY!$B$5:$B$88,LO_TRINH!A5)</f>
        <v/>
      </c>
      <c r="H12" s="11">
        <f>IF(F12=0,"",G12/F12)</f>
        <v/>
      </c>
    </row>
    <row r="13">
      <c r="A13" s="8">
        <f>"Tuần "&amp;LO_TRINH!A6&amp;" ("&amp;TEXT(LO_TRINH!B6,"dd/mm")&amp;")"</f>
        <v/>
      </c>
      <c r="B13" s="10">
        <f>LO_TRINH!J6</f>
        <v/>
      </c>
      <c r="C13" s="12">
        <f>B13*$B$4</f>
        <v/>
      </c>
      <c r="D13" s="12">
        <f>C13*$B$5</f>
        <v/>
      </c>
      <c r="E13" s="12">
        <f>D13*$B$6</f>
        <v/>
      </c>
      <c r="F13" s="12">
        <f>E13*$B$7</f>
        <v/>
      </c>
      <c r="G13" s="10">
        <f>SUMIFS(THEO_DOI_NGAY!$I$5:$I$88,THEO_DOI_NGAY!$B$5:$B$88,LO_TRINH!A6)</f>
        <v/>
      </c>
      <c r="H13" s="11">
        <f>IF(F13=0,"",G13/F13)</f>
        <v/>
      </c>
    </row>
    <row r="14">
      <c r="A14" s="8">
        <f>"Tuần "&amp;LO_TRINH!A7&amp;" ("&amp;TEXT(LO_TRINH!B7,"dd/mm")&amp;")"</f>
        <v/>
      </c>
      <c r="B14" s="10">
        <f>LO_TRINH!J7</f>
        <v/>
      </c>
      <c r="C14" s="12">
        <f>B14*$B$4</f>
        <v/>
      </c>
      <c r="D14" s="12">
        <f>C14*$B$5</f>
        <v/>
      </c>
      <c r="E14" s="12">
        <f>D14*$B$6</f>
        <v/>
      </c>
      <c r="F14" s="12">
        <f>E14*$B$7</f>
        <v/>
      </c>
      <c r="G14" s="10">
        <f>SUMIFS(THEO_DOI_NGAY!$I$5:$I$88,THEO_DOI_NGAY!$B$5:$B$88,LO_TRINH!A7)</f>
        <v/>
      </c>
      <c r="H14" s="11">
        <f>IF(F14=0,"",G14/F14)</f>
        <v/>
      </c>
    </row>
    <row r="15">
      <c r="A15" s="8">
        <f>"Tuần "&amp;LO_TRINH!A8&amp;" ("&amp;TEXT(LO_TRINH!B8,"dd/mm")&amp;")"</f>
        <v/>
      </c>
      <c r="B15" s="10">
        <f>LO_TRINH!J8</f>
        <v/>
      </c>
      <c r="C15" s="12">
        <f>B15*$B$4</f>
        <v/>
      </c>
      <c r="D15" s="12">
        <f>C15*$B$5</f>
        <v/>
      </c>
      <c r="E15" s="12">
        <f>D15*$B$6</f>
        <v/>
      </c>
      <c r="F15" s="12">
        <f>E15*$B$7</f>
        <v/>
      </c>
      <c r="G15" s="10">
        <f>SUMIFS(THEO_DOI_NGAY!$I$5:$I$88,THEO_DOI_NGAY!$B$5:$B$88,LO_TRINH!A8)</f>
        <v/>
      </c>
      <c r="H15" s="11">
        <f>IF(F15=0,"",G15/F15)</f>
        <v/>
      </c>
    </row>
    <row r="16">
      <c r="A16" s="8">
        <f>"Tuần "&amp;LO_TRINH!A9&amp;" ("&amp;TEXT(LO_TRINH!B9,"dd/mm")&amp;")"</f>
        <v/>
      </c>
      <c r="B16" s="10">
        <f>LO_TRINH!J9</f>
        <v/>
      </c>
      <c r="C16" s="12">
        <f>B16*$B$4</f>
        <v/>
      </c>
      <c r="D16" s="12">
        <f>C16*$B$5</f>
        <v/>
      </c>
      <c r="E16" s="12">
        <f>D16*$B$6</f>
        <v/>
      </c>
      <c r="F16" s="12">
        <f>E16*$B$7</f>
        <v/>
      </c>
      <c r="G16" s="10">
        <f>SUMIFS(THEO_DOI_NGAY!$I$5:$I$88,THEO_DOI_NGAY!$B$5:$B$88,LO_TRINH!A9)</f>
        <v/>
      </c>
      <c r="H16" s="11">
        <f>IF(F16=0,"",G16/F16)</f>
        <v/>
      </c>
    </row>
    <row r="17">
      <c r="A17" s="8">
        <f>"Tuần "&amp;LO_TRINH!A10&amp;" ("&amp;TEXT(LO_TRINH!B10,"dd/mm")&amp;")"</f>
        <v/>
      </c>
      <c r="B17" s="10">
        <f>LO_TRINH!J10</f>
        <v/>
      </c>
      <c r="C17" s="12">
        <f>B17*$B$4</f>
        <v/>
      </c>
      <c r="D17" s="12">
        <f>C17*$B$5</f>
        <v/>
      </c>
      <c r="E17" s="12">
        <f>D17*$B$6</f>
        <v/>
      </c>
      <c r="F17" s="12">
        <f>E17*$B$7</f>
        <v/>
      </c>
      <c r="G17" s="10">
        <f>SUMIFS(THEO_DOI_NGAY!$I$5:$I$88,THEO_DOI_NGAY!$B$5:$B$88,LO_TRINH!A10)</f>
        <v/>
      </c>
      <c r="H17" s="11">
        <f>IF(F17=0,"",G17/F17)</f>
        <v/>
      </c>
    </row>
    <row r="18">
      <c r="A18" s="8">
        <f>"Tuần "&amp;LO_TRINH!A11&amp;" ("&amp;TEXT(LO_TRINH!B11,"dd/mm")&amp;")"</f>
        <v/>
      </c>
      <c r="B18" s="10">
        <f>LO_TRINH!J11</f>
        <v/>
      </c>
      <c r="C18" s="12">
        <f>B18*$B$4</f>
        <v/>
      </c>
      <c r="D18" s="12">
        <f>C18*$B$5</f>
        <v/>
      </c>
      <c r="E18" s="12">
        <f>D18*$B$6</f>
        <v/>
      </c>
      <c r="F18" s="12">
        <f>E18*$B$7</f>
        <v/>
      </c>
      <c r="G18" s="10">
        <f>SUMIFS(THEO_DOI_NGAY!$I$5:$I$88,THEO_DOI_NGAY!$B$5:$B$88,LO_TRINH!A11)</f>
        <v/>
      </c>
      <c r="H18" s="11">
        <f>IF(F18=0,"",G18/F18)</f>
        <v/>
      </c>
    </row>
    <row r="19">
      <c r="A19" s="8">
        <f>"Tuần "&amp;LO_TRINH!A12&amp;" ("&amp;TEXT(LO_TRINH!B12,"dd/mm")&amp;")"</f>
        <v/>
      </c>
      <c r="B19" s="10">
        <f>LO_TRINH!J12</f>
        <v/>
      </c>
      <c r="C19" s="12">
        <f>B19*$B$4</f>
        <v/>
      </c>
      <c r="D19" s="12">
        <f>C19*$B$5</f>
        <v/>
      </c>
      <c r="E19" s="12">
        <f>D19*$B$6</f>
        <v/>
      </c>
      <c r="F19" s="12">
        <f>E19*$B$7</f>
        <v/>
      </c>
      <c r="G19" s="10">
        <f>SUMIFS(THEO_DOI_NGAY!$I$5:$I$88,THEO_DOI_NGAY!$B$5:$B$88,LO_TRINH!A12)</f>
        <v/>
      </c>
      <c r="H19" s="11">
        <f>IF(F19=0,"",G19/F19)</f>
        <v/>
      </c>
    </row>
    <row r="20">
      <c r="A20" s="8">
        <f>"Tuần "&amp;LO_TRINH!A13&amp;" ("&amp;TEXT(LO_TRINH!B13,"dd/mm")&amp;")"</f>
        <v/>
      </c>
      <c r="B20" s="10">
        <f>LO_TRINH!J13</f>
        <v/>
      </c>
      <c r="C20" s="12">
        <f>B20*$B$4</f>
        <v/>
      </c>
      <c r="D20" s="12">
        <f>C20*$B$5</f>
        <v/>
      </c>
      <c r="E20" s="12">
        <f>D20*$B$6</f>
        <v/>
      </c>
      <c r="F20" s="12">
        <f>E20*$B$7</f>
        <v/>
      </c>
      <c r="G20" s="10">
        <f>SUMIFS(THEO_DOI_NGAY!$I$5:$I$88,THEO_DOI_NGAY!$B$5:$B$88,LO_TRINH!A13)</f>
        <v/>
      </c>
      <c r="H20" s="11">
        <f>IF(F20=0,"",G20/F20)</f>
        <v/>
      </c>
    </row>
    <row r="21">
      <c r="A21" s="8">
        <f>"Tuần "&amp;LO_TRINH!A14&amp;" ("&amp;TEXT(LO_TRINH!B14,"dd/mm")&amp;")"</f>
        <v/>
      </c>
      <c r="B21" s="10">
        <f>LO_TRINH!J14</f>
        <v/>
      </c>
      <c r="C21" s="12">
        <f>B21*$B$4</f>
        <v/>
      </c>
      <c r="D21" s="12">
        <f>C21*$B$5</f>
        <v/>
      </c>
      <c r="E21" s="12">
        <f>D21*$B$6</f>
        <v/>
      </c>
      <c r="F21" s="12">
        <f>E21*$B$7</f>
        <v/>
      </c>
      <c r="G21" s="10">
        <f>SUMIFS(THEO_DOI_NGAY!$I$5:$I$88,THEO_DOI_NGAY!$B$5:$B$88,LO_TRINH!A14)</f>
        <v/>
      </c>
      <c r="H21" s="11">
        <f>IF(F21=0,"",G21/F21)</f>
        <v/>
      </c>
    </row>
    <row r="22">
      <c r="A22" s="8">
        <f>"Tuần "&amp;LO_TRINH!A15&amp;" ("&amp;TEXT(LO_TRINH!B15,"dd/mm")&amp;")"</f>
        <v/>
      </c>
      <c r="B22" s="10">
        <f>LO_TRINH!J15</f>
        <v/>
      </c>
      <c r="C22" s="12">
        <f>B22*$B$4</f>
        <v/>
      </c>
      <c r="D22" s="12">
        <f>C22*$B$5</f>
        <v/>
      </c>
      <c r="E22" s="12">
        <f>D22*$B$6</f>
        <v/>
      </c>
      <c r="F22" s="12">
        <f>E22*$B$7</f>
        <v/>
      </c>
      <c r="G22" s="10">
        <f>SUMIFS(THEO_DOI_NGAY!$I$5:$I$88,THEO_DOI_NGAY!$B$5:$B$88,LO_TRINH!A15)</f>
        <v/>
      </c>
      <c r="H22" s="11">
        <f>IF(F22=0,"",G22/F22)</f>
        <v/>
      </c>
    </row>
    <row r="23">
      <c r="A23" s="17" t="inlineStr">
        <is>
          <t>TỔNG 12 TUẦN</t>
        </is>
      </c>
      <c r="B23" s="18">
        <f>SUM(B11:B22)</f>
        <v/>
      </c>
      <c r="C23" s="18">
        <f>SUM(C11:C22)</f>
        <v/>
      </c>
      <c r="D23" s="18">
        <f>SUM(D11:D22)</f>
        <v/>
      </c>
      <c r="E23" s="18">
        <f>SUM(E11:E22)</f>
        <v/>
      </c>
      <c r="F23" s="18">
        <f>SUM(F11:F22)</f>
        <v/>
      </c>
      <c r="G23" s="18">
        <f>SUM(G11:G22)</f>
        <v/>
      </c>
      <c r="H23" s="46">
        <f>IF(F23=0,"",G23/F23)</f>
        <v/>
      </c>
    </row>
    <row r="24">
      <c r="A24" s="4" t="inlineStr">
        <is>
          <t>Hoa hồng dự kiến/tháng khi đủ 8 video/ngày</t>
        </is>
      </c>
      <c r="F24" s="27">
        <f>F17/7*30</f>
        <v/>
      </c>
    </row>
    <row r="26">
      <c r="A26" s="3" t="inlineStr">
        <is>
          <t>Bài toán hòa vốn (khi đủ 8 video/ngày)</t>
        </is>
      </c>
    </row>
    <row r="27">
      <c r="A27" s="4" t="inlineStr">
        <is>
          <t>Số người khi đủ công suất</t>
        </is>
      </c>
      <c r="B27" s="29">
        <f>NHAN_SU!B15</f>
        <v/>
      </c>
      <c r="C27" s="28" t="inlineStr">
        <is>
          <t>Lấy từ NHAN_SU. Giai đoạn 1 chỉ cần 2 người kiêm nhiệm.</t>
        </is>
      </c>
      <c r="D27" s="21" t="n"/>
      <c r="E27" s="21" t="n"/>
      <c r="F27" s="21" t="n"/>
      <c r="G27" s="21" t="n"/>
      <c r="H27" s="22" t="n"/>
    </row>
    <row r="28">
      <c r="A28" s="4" t="inlineStr">
        <is>
          <t>Chi phí TB/người/tháng (đ)</t>
        </is>
      </c>
      <c r="B28" s="43" t="n">
        <v>8000000</v>
      </c>
      <c r="C28" s="28" t="inlineStr">
        <is>
          <t>Giả định 8 triệu/người – điền mức thực tế.</t>
        </is>
      </c>
      <c r="D28" s="21" t="n"/>
      <c r="E28" s="21" t="n"/>
      <c r="F28" s="21" t="n"/>
      <c r="G28" s="21" t="n"/>
      <c r="H28" s="22" t="n"/>
    </row>
    <row r="29">
      <c r="A29" s="4" t="inlineStr">
        <is>
          <t>Chi phí nhân sự/tháng (đ)</t>
        </is>
      </c>
      <c r="B29" s="12">
        <f>B27*B28</f>
        <v/>
      </c>
      <c r="C29" s="28" t="inlineStr"/>
      <c r="D29" s="21" t="n"/>
      <c r="E29" s="21" t="n"/>
      <c r="F29" s="21" t="n"/>
      <c r="G29" s="21" t="n"/>
      <c r="H29" s="22" t="n"/>
    </row>
    <row r="30">
      <c r="A30" s="4" t="inlineStr">
        <is>
          <t>Lãi/lỗ mỗi tháng (đ)</t>
        </is>
      </c>
      <c r="B30" s="47">
        <f>F24-B29</f>
        <v/>
      </c>
      <c r="C30" s="28" t="inlineStr">
        <is>
          <t>Hoa hồng/tháng trừ chi phí nhân sự.</t>
        </is>
      </c>
      <c r="D30" s="21" t="n"/>
      <c r="E30" s="21" t="n"/>
      <c r="F30" s="21" t="n"/>
      <c r="G30" s="21" t="n"/>
      <c r="H30" s="22" t="n"/>
    </row>
    <row r="31">
      <c r="A31" s="4" t="inlineStr">
        <is>
          <t>View TB/video cần để hòa vốn</t>
        </is>
      </c>
      <c r="B31" s="27">
        <f>IF($B$5*$B$6*$B$7=0,"",B29/(MAX(LO_TRINH!I4:I15)*30*$B$5*$B$6*$B$7))</f>
        <v/>
      </c>
      <c r="C31" s="28" t="inlineStr">
        <is>
          <t>Mốc quyết định tăng người: chỉ tăng khi view thực tế vượt mốc này.</t>
        </is>
      </c>
      <c r="D31" s="21" t="n"/>
      <c r="E31" s="21" t="n"/>
      <c r="F31" s="21" t="n"/>
      <c r="G31" s="21" t="n"/>
      <c r="H31" s="22" t="n"/>
    </row>
  </sheetData>
  <mergeCells count="9">
    <mergeCell ref="C6:H6"/>
    <mergeCell ref="C28:H28"/>
    <mergeCell ref="C27:H27"/>
    <mergeCell ref="C5:H5"/>
    <mergeCell ref="C31:H31"/>
    <mergeCell ref="C30:H30"/>
    <mergeCell ref="C4:H4"/>
    <mergeCell ref="C29:H29"/>
    <mergeCell ref="C7:H7"/>
  </mergeCells>
  <conditionalFormatting sqref="B30">
    <cfRule type="cellIs" priority="1" operator="lessThan"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2" customWidth="1" min="1" max="1"/>
    <col width="22" customWidth="1" min="2" max="2"/>
    <col width="22" customWidth="1" min="3" max="3"/>
    <col width="60" customWidth="1" min="4" max="4"/>
  </cols>
  <sheetData>
    <row r="1">
      <c r="A1" s="1" t="inlineStr">
        <is>
          <t>KPI &amp; QUY TẮC CẮT / NHÂN</t>
        </is>
      </c>
    </row>
    <row r="2">
      <c r="A2" s="2" t="inlineStr">
        <is>
          <t>Áp dụng khi review Chủ nhật.</t>
        </is>
      </c>
    </row>
    <row r="4" ht="30" customHeight="1">
      <c r="A4" s="13" t="inlineStr">
        <is>
          <t>Chỉ số</t>
        </is>
      </c>
      <c r="B4" s="13" t="inlineStr">
        <is>
          <t>Theo dõi ở</t>
        </is>
      </c>
      <c r="C4" s="13" t="inlineStr">
        <is>
          <t>Ngưỡng</t>
        </is>
      </c>
      <c r="D4" s="13" t="inlineStr">
        <is>
          <t>Hành động</t>
        </is>
      </c>
    </row>
    <row r="5">
      <c r="A5" s="4" t="inlineStr">
        <is>
          <t>Giữ chân 3 giây</t>
        </is>
      </c>
      <c r="B5" s="5" t="inlineStr">
        <is>
          <t>Từng video</t>
        </is>
      </c>
      <c r="C5" s="5" t="inlineStr">
        <is>
          <t>&lt; 30%</t>
        </is>
      </c>
      <c r="D5" s="5" t="inlineStr">
        <is>
          <t>Viết lại câu hỏi mở đầu, đổi băng chữ đỏ</t>
        </is>
      </c>
    </row>
    <row r="6">
      <c r="A6" s="4" t="inlineStr">
        <is>
          <t>Click link / lượt xem</t>
        </is>
      </c>
      <c r="B6" s="5" t="inlineStr">
        <is>
          <t>Từng sản phẩm</t>
        </is>
      </c>
      <c r="C6" s="5" t="inlineStr">
        <is>
          <t>&lt; 0,3%</t>
        </is>
      </c>
      <c r="D6" s="5" t="inlineStr">
        <is>
          <t>Đổi góc kể, đổi khung giờ, đổi câu dẫn link ở bình luận</t>
        </is>
      </c>
    </row>
    <row r="7">
      <c r="A7" s="4" t="inlineStr">
        <is>
          <t>Đơn / sản phẩm / tuần (theo Sub_id)</t>
        </is>
      </c>
      <c r="B7" s="5" t="inlineStr">
        <is>
          <t>Báo cáo Shopee</t>
        </is>
      </c>
      <c r="C7" s="5" t="inlineStr">
        <is>
          <t>Top 3</t>
        </is>
      </c>
      <c r="D7" s="5" t="inlineStr">
        <is>
          <t>Tăng gấp đôi số video cho sản phẩm đó</t>
        </is>
      </c>
    </row>
    <row r="8">
      <c r="A8" s="4" t="inlineStr">
        <is>
          <t>Đơn / trụ cột / 3 tuần</t>
        </is>
      </c>
      <c r="B8" s="5" t="inlineStr">
        <is>
          <t>Từng trụ cột</t>
        </is>
      </c>
      <c r="C8" s="5" t="inlineStr">
        <is>
          <t>0 đơn sau ~40 video</t>
        </is>
      </c>
      <c r="D8" s="5" t="inlineStr">
        <is>
          <t>Đổi sản phẩm của trụ cột, giữ trụ cột nếu view tốt</t>
        </is>
      </c>
    </row>
    <row r="9">
      <c r="A9" s="4" t="inlineStr">
        <is>
          <t>Sản phẩm hạng C</t>
        </is>
      </c>
      <c r="B9" s="5" t="inlineStr">
        <is>
          <t>Từng sản phẩm</t>
        </is>
      </c>
      <c r="C9" s="5" t="inlineStr">
        <is>
          <t>20 video không đơn</t>
        </is>
      </c>
      <c r="D9" s="5" t="inlineStr">
        <is>
          <t>Bỏ khỏi kế hoạch</t>
        </is>
      </c>
    </row>
    <row r="10">
      <c r="A10" s="4" t="inlineStr">
        <is>
          <t>Đăng đúng lịch</t>
        </is>
      </c>
      <c r="B10" s="5" t="inlineStr">
        <is>
          <t>Từng ngày</t>
        </is>
      </c>
      <c r="C10" s="5" t="inlineStr">
        <is>
          <t>&lt; 90%</t>
        </is>
      </c>
      <c r="D10" s="5" t="inlineStr">
        <is>
          <t>R1 kiểm tra nút thắt: prompt hay Viral Studio</t>
        </is>
      </c>
    </row>
    <row r="11">
      <c r="A11" s="4" t="inlineStr">
        <is>
          <t>QC đạt</t>
        </is>
      </c>
      <c r="B11" s="5" t="inlineStr">
        <is>
          <t>Toàn team</t>
        </is>
      </c>
      <c r="C11" s="5" t="inlineStr">
        <is>
          <t>&lt; 90%</t>
        </is>
      </c>
      <c r="D11" s="5" t="inlineStr">
        <is>
          <t>Siết checklist, sửa khuôn prompt</t>
        </is>
      </c>
    </row>
    <row r="12">
      <c r="A12" s="4" t="inlineStr">
        <is>
          <t>Cảnh báo/hạn chế từ Facebook</t>
        </is>
      </c>
      <c r="B12" s="5" t="inlineStr">
        <is>
          <t>Page</t>
        </is>
      </c>
      <c r="C12" s="5" t="inlineStr">
        <is>
          <t>Bất kỳ</t>
        </is>
      </c>
      <c r="D12" s="5" t="inlineStr">
        <is>
          <t>Dừng tăng sản lượng, rà lời thoại và ảnh bìa 7 ngày gần nhất</t>
        </is>
      </c>
    </row>
    <row r="14">
      <c r="A14" s="4" t="inlineStr">
        <is>
          <t>Mỗi Chủ nhật: lấy 3 video ra đơn nhiều nhất (báo cáo Shopee lọc Sub_id) → làm 5 biến thể cho tuần sau.</t>
        </is>
      </c>
      <c r="B14" s="21" t="n"/>
      <c r="C14" s="21" t="n"/>
      <c r="D14" s="22" t="n"/>
    </row>
  </sheetData>
  <mergeCells count="1">
    <mergeCell ref="A14:D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56" customWidth="1" min="1" max="1"/>
    <col width="12" customWidth="1" min="2" max="2"/>
    <col width="76" customWidth="1" min="3" max="3"/>
    <col width="14" customWidth="1" min="4" max="4"/>
    <col width="16" customWidth="1" min="5" max="5"/>
  </cols>
  <sheetData>
    <row r="1">
      <c r="A1" s="1" t="inlineStr">
        <is>
          <t>SỔ RỦI RO</t>
        </is>
      </c>
    </row>
    <row r="2">
      <c r="A2" s="2" t="inlineStr">
        <is>
          <t>Rà lại mỗi tháng.</t>
        </is>
      </c>
    </row>
    <row r="4" ht="30" customHeight="1">
      <c r="A4" s="13" t="inlineStr">
        <is>
          <t>Rủi ro</t>
        </is>
      </c>
      <c r="B4" s="13" t="inlineStr">
        <is>
          <t>Mức</t>
        </is>
      </c>
      <c r="C4" s="13" t="inlineStr">
        <is>
          <t>Cách phòng tránh</t>
        </is>
      </c>
      <c r="D4" s="13" t="inlineStr">
        <is>
          <t>Chủ quản</t>
        </is>
      </c>
      <c r="E4" s="13" t="inlineStr">
        <is>
          <t>Tình trạng</t>
        </is>
      </c>
    </row>
    <row r="5" ht="32" customHeight="1">
      <c r="A5" s="5" t="inlineStr">
        <is>
          <t>Facebook gắn cờ nội dung tình dục, hạn chế page</t>
        </is>
      </c>
      <c r="B5" s="48" t="inlineStr">
        <is>
          <t>Cao</t>
        </is>
      </c>
      <c r="C5" s="5" t="inlineStr">
        <is>
          <t>Giọng chia sẻ kiến thức; bảng từ cấm; không hình gợi dục kể cả ảnh bìa; QC điểm 4. Đây là page duy nhất – mất page là mất hết</t>
        </is>
      </c>
      <c r="D5" s="23" t="inlineStr">
        <is>
          <t>R1</t>
        </is>
      </c>
      <c r="E5" s="26" t="inlineStr">
        <is>
          <t>Đang theo dõi</t>
        </is>
      </c>
    </row>
    <row r="6" ht="32" customHeight="1">
      <c r="A6" s="5" t="inlineStr">
        <is>
          <t>Quảng cáo thực phẩm chức năng sai luật (“tăng sinh lý”, “chữa”)</t>
        </is>
      </c>
      <c r="B6" s="48" t="inlineStr">
        <is>
          <t>Cao</t>
        </is>
      </c>
      <c r="C6" s="5" t="inlineStr">
        <is>
          <t>Chỉ nói “hỗ trợ” + triệu chứng; câu “không phải là thuốc”; QC điểm 5</t>
        </is>
      </c>
      <c r="D6" s="23" t="inlineStr">
        <is>
          <t>R4</t>
        </is>
      </c>
      <c r="E6" s="26" t="inlineStr">
        <is>
          <t>Đang theo dõi</t>
        </is>
      </c>
    </row>
    <row r="7" ht="32" customHeight="1">
      <c r="A7" s="5" t="inlineStr">
        <is>
          <t>Nhân vật bị hiểu là bác sĩ thật</t>
        </is>
      </c>
      <c r="B7" s="48" t="inlineStr">
        <is>
          <t>Cao</t>
        </is>
      </c>
      <c r="C7" s="5" t="inlineStr">
        <is>
          <t>Luật xưng hô trong mọi prompt; không blouse, ống nghe; QC điểm 3</t>
        </is>
      </c>
      <c r="D7" s="23" t="inlineStr">
        <is>
          <t>R1</t>
        </is>
      </c>
      <c r="E7" s="26" t="inlineStr">
        <is>
          <t>Đang theo dõi</t>
        </is>
      </c>
    </row>
    <row r="8" ht="32" customHeight="1">
      <c r="A8" s="5" t="inlineStr">
        <is>
          <t>Hoa hồng Shopee của thực phẩm chức năng thấp (2,5–7,5%)</t>
        </is>
      </c>
      <c r="B8" s="38" t="inlineStr">
        <is>
          <t>Trung bình</t>
        </is>
      </c>
      <c r="C8" s="5" t="inlineStr">
        <is>
          <t>Xếp hạng theo hoa hồng/đơn trên Shopee, không theo TikTok; ưu tiên sản phẩm đơn cao (máy đo, massage); kiểm tra lại mỗi thứ Hai</t>
        </is>
      </c>
      <c r="D8" s="23" t="inlineStr">
        <is>
          <t>R4</t>
        </is>
      </c>
      <c r="E8" s="26" t="inlineStr">
        <is>
          <t>Đang theo dõi</t>
        </is>
      </c>
    </row>
    <row r="9" ht="32" customHeight="1">
      <c r="A9" s="5" t="inlineStr">
        <is>
          <t>Nhóm hàng nhạy cảm bị chặn link</t>
        </is>
      </c>
      <c r="B9" s="38" t="inlineStr">
        <is>
          <t>Trung bình</t>
        </is>
      </c>
      <c r="C9" s="5" t="inlineStr">
        <is>
          <t>Gel bôi trơn: crawl 2 lần không lấy được link nên chưa dùng; bao cao su Durex lấy được (13,5%). Thử lấy link gel bằng tay trên app (việc T03); không được thì chỉ làm video kiến thức</t>
        </is>
      </c>
      <c r="D9" s="23" t="inlineStr">
        <is>
          <t>R4</t>
        </is>
      </c>
      <c r="E9" s="26" t="inlineStr">
        <is>
          <t>Đang theo dõi</t>
        </is>
      </c>
    </row>
    <row r="10" ht="32" customHeight="1">
      <c r="A10" s="5" t="inlineStr">
        <is>
          <t>Viral Studio hết lượt, phiên đăng nhập hết hạn, hàng đợi đứng</t>
        </is>
      </c>
      <c r="B10" s="38" t="inlineStr">
        <is>
          <t>Trung bình</t>
        </is>
      </c>
      <c r="C10" s="5" t="inlineStr">
        <is>
          <t>Đệm video 2 ngày; skill viral-studio-sua-loi; theo dõi bằng viral-studio-theo-doi</t>
        </is>
      </c>
      <c r="D10" s="23" t="inlineStr">
        <is>
          <t>R3</t>
        </is>
      </c>
      <c r="E10" s="26" t="inlineStr">
        <is>
          <t>Đang theo dõi</t>
        </is>
      </c>
    </row>
    <row r="11" ht="32" customHeight="1">
      <c r="A11" s="5" t="inlineStr">
        <is>
          <t>Gương mặt nhân vật lệch giữa các video</t>
        </is>
      </c>
      <c r="B11" s="38" t="inlineStr">
        <is>
          <t>Trung bình</t>
        </is>
      </c>
      <c r="C11" s="5" t="inlineStr">
        <is>
          <t>Luôn đính kèm nhan-vat-chi.png; prompt bắt tạo ẢNH NHÂN VẬT CHUẨN trước; QC điểm 2</t>
        </is>
      </c>
      <c r="D11" s="23" t="inlineStr">
        <is>
          <t>R3</t>
        </is>
      </c>
      <c r="E11" s="26" t="inlineStr">
        <is>
          <t>Đang theo dõi</t>
        </is>
      </c>
    </row>
    <row r="12" ht="32" customHeight="1">
      <c r="A12" s="5" t="inlineStr">
        <is>
          <t>Link affiliate hết hạn hoặc sản phẩm hết hàng</t>
        </is>
      </c>
      <c r="B12" s="38" t="inlineStr">
        <is>
          <t>Trung bình</t>
        </is>
      </c>
      <c r="C12" s="5" t="inlineStr">
        <is>
          <t>Kiểm tra link thứ Hai; có sản phẩm thay thế cùng nhóm</t>
        </is>
      </c>
      <c r="D12" s="23" t="inlineStr">
        <is>
          <t>R4</t>
        </is>
      </c>
      <c r="E12" s="26" t="inlineStr">
        <is>
          <t>Đang theo dõi</t>
        </is>
      </c>
    </row>
    <row r="13" ht="32" customHeight="1">
      <c r="A13" s="5" t="inlineStr">
        <is>
          <t>Bình luận tục, spam, tranh cãi</t>
        </is>
      </c>
      <c r="B13" s="38" t="inlineStr">
        <is>
          <t>Trung bình</t>
        </is>
      </c>
      <c r="C13" s="5" t="inlineStr">
        <is>
          <t>Ẩn bình luận theo từ khóa; trực 2 lần/ngày</t>
        </is>
      </c>
      <c r="D13" s="23" t="inlineStr">
        <is>
          <t>R4</t>
        </is>
      </c>
      <c r="E13" s="26" t="inlineStr">
        <is>
          <t>Đang theo dõi</t>
        </is>
      </c>
    </row>
    <row r="14" ht="32" customHeight="1">
      <c r="A14" s="5" t="inlineStr">
        <is>
          <t>Postiz giới hạn ~30 request/giờ</t>
        </is>
      </c>
      <c r="B14" s="49" t="inlineStr">
        <is>
          <t>Thấp</t>
        </is>
      </c>
      <c r="C14" s="5" t="inlineStr">
        <is>
          <t>8 bài × 2 request/ngày, script tự chờ</t>
        </is>
      </c>
      <c r="D14" s="23" t="inlineStr">
        <is>
          <t>R4</t>
        </is>
      </c>
      <c r="E14" s="26" t="inlineStr">
        <is>
          <t>Đang theo dõi</t>
        </is>
      </c>
    </row>
    <row r="15" ht="32" customHeight="1">
      <c r="A15" s="5" t="inlineStr">
        <is>
          <t>Đăng dày làm giảm reach</t>
        </is>
      </c>
      <c r="B15" s="49" t="inlineStr">
        <is>
          <t>Thấp</t>
        </is>
      </c>
      <c r="C15" s="5" t="inlineStr">
        <is>
          <t>Tăng sản lượng theo lộ trình, có điều kiện qua cửa</t>
        </is>
      </c>
      <c r="D15" s="23" t="inlineStr">
        <is>
          <t>R1</t>
        </is>
      </c>
      <c r="E15" s="26" t="inlineStr">
        <is>
          <t>Đang theo dõi</t>
        </is>
      </c>
    </row>
  </sheetData>
  <dataValidations count="1">
    <dataValidation sqref="E5:E15" showDropDown="0" showInputMessage="0" showErrorMessage="0" allowBlank="1" type="list">
      <formula1>"Đang theo dõi,Đã xử lý,Đã xảy ra"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0" customWidth="1" min="1" max="1"/>
    <col width="80" customWidth="1" min="2" max="2"/>
    <col width="46" customWidth="1" min="3" max="3"/>
  </cols>
  <sheetData>
    <row r="1">
      <c r="A1" s="1" t="inlineStr">
        <is>
          <t>TÀI NGUYÊN &amp; CÔNG CỤ</t>
        </is>
      </c>
    </row>
    <row r="2">
      <c r="A2" s="2" t="inlineStr">
        <is>
          <t>Đường dẫn trên máy và skill dùng trong Claude Code.</t>
        </is>
      </c>
    </row>
    <row r="4" ht="30" customHeight="1">
      <c r="A4" s="13" t="inlineStr">
        <is>
          <t>Tài nguyên</t>
        </is>
      </c>
      <c r="B4" s="13" t="inlineStr">
        <is>
          <t>Đường dẫn / tên</t>
        </is>
      </c>
      <c r="C4" s="13" t="inlineStr">
        <is>
          <t>Dùng để</t>
        </is>
      </c>
    </row>
    <row r="5">
      <c r="A5" s="4" t="inlineStr">
        <is>
          <t>Kho master prompt Chị Giang (prompt 17–235)</t>
        </is>
      </c>
      <c r="B5" s="39" t="inlineStr">
        <is>
          <t>D:\video-ai-aff\chi-giang-loat-2</t>
        </is>
      </c>
      <c r="C5" s="5" t="inlineStr">
        <is>
          <t>Mẫu giọng văn, khuôn hỏi đáp 70s, script _tao-prompt-*.py</t>
        </is>
      </c>
    </row>
    <row r="6">
      <c r="A6" s="4" t="inlineStr">
        <is>
          <t>Ảnh nhân vật chuẩn</t>
        </is>
      </c>
      <c r="B6" s="39" t="inlineStr">
        <is>
          <t>D:\video-ai-aff\chi-giang-loat-2\nhan-vat-chi.png</t>
        </is>
      </c>
      <c r="C6" s="5" t="inlineStr">
        <is>
          <t>Đính kèm mọi lần chạy Viral Studio</t>
        </is>
      </c>
    </row>
    <row r="7">
      <c r="A7" s="4" t="inlineStr">
        <is>
          <t>6 kịch bản review sản phẩm</t>
        </is>
      </c>
      <c r="B7" s="39" t="inlineStr">
        <is>
          <t>D:\video-ai-aff\chi-giang-review-san-pham\kich-ban-6-video.md</t>
        </is>
      </c>
      <c r="C7" s="5" t="inlineStr">
        <is>
          <t>Khuôn review 50s</t>
        </is>
      </c>
    </row>
    <row r="8">
      <c r="A8" s="4" t="inlineStr">
        <is>
          <t>Danh sách sản phẩm + link Shopee + ảnh</t>
        </is>
      </c>
      <c r="B8" s="39" t="inlineStr">
        <is>
          <t>D:\video-ai-aff\san-pham-kenh-chi-giang.xlsx</t>
        </is>
      </c>
      <c r="C8" s="5" t="inlineStr">
        <is>
          <t>Nguồn của sheet SAN_PHAM (crawl bằng PostForge)</t>
        </is>
      </c>
    </row>
    <row r="9">
      <c r="A9" s="4" t="inlineStr">
        <is>
          <t>Ảnh sản phẩm</t>
        </is>
      </c>
      <c r="B9" s="39" t="inlineStr">
        <is>
          <t>D:\video-ai-aff\shopee-aff-crawler\storage\images</t>
        </is>
      </c>
      <c r="C9" s="5" t="inlineStr">
        <is>
          <t>Mỗi sản phẩm 1 thư mục</t>
        </is>
      </c>
    </row>
    <row r="10">
      <c r="A10" s="4" t="inlineStr">
        <is>
          <t>Số liệu KaloData 30 ngày (TikTok)</t>
        </is>
      </c>
      <c r="B10" s="39" t="inlineStr">
        <is>
          <t>D:\video-ai-aff\research\chi-giang-sp\kalodata-tu-khoa-30ngay.txt</t>
        </is>
      </c>
      <c r="C10" s="5" t="inlineStr">
        <is>
          <t>Chỉ tham khảo nhu cầu – giá, hoa hồng dùng theo Shopee</t>
        </is>
      </c>
    </row>
    <row r="11">
      <c r="A11" s="4" t="inlineStr">
        <is>
          <t>Thư mục video của kênh</t>
        </is>
      </c>
      <c r="B11" s="39" t="inlineStr">
        <is>
          <t>D:\video-ai-aff\viral-studio-downloads\videos\gioi-tinh</t>
        </is>
      </c>
      <c r="C11" s="5" t="inlineStr">
        <is>
          <t>Video xuất xong lưu ở đây</t>
        </is>
      </c>
    </row>
    <row r="12">
      <c r="A12" s="4" t="inlineStr">
        <is>
          <t>Mẫu script đăng Postiz</t>
        </is>
      </c>
      <c r="B12" s="39" t="inlineStr">
        <is>
          <t>D:\video-ai-aff\viral-studio-downloads\postiz-giot-lanh.py</t>
        </is>
      </c>
      <c r="C12" s="5" t="inlineStr">
        <is>
          <t>Nhân bản thành postiz-gioi-tinh.py</t>
        </is>
      </c>
    </row>
    <row r="13">
      <c r="A13" s="4" t="inlineStr">
        <is>
          <t>Postiz</t>
        </is>
      </c>
      <c r="B13" s="39" t="inlineStr">
        <is>
          <t>https://mlabai.uk</t>
        </is>
      </c>
      <c r="C13" s="5" t="inlineStr">
        <is>
          <t>Page Chị Giang: cmup0vxri0002qxtax0kkxduf</t>
        </is>
      </c>
    </row>
    <row r="14">
      <c r="A14" s="4" t="inlineStr">
        <is>
          <t>PostForge (crawl Shopee)</t>
        </is>
      </c>
      <c r="B14" s="39" t="inlineStr">
        <is>
          <t>http://127.0.0.1:8765</t>
        </is>
      </c>
      <c r="C14" s="5" t="inlineStr">
        <is>
          <t>Lấy link s.shopee.vn, ảnh, hoa hồng</t>
        </is>
      </c>
    </row>
    <row r="15">
      <c r="A15" s="4" t="inlineStr">
        <is>
          <t>Skill viết prompt</t>
        </is>
      </c>
      <c r="B15" s="5" t="inlineStr">
        <is>
          <t>master-prompt</t>
        </is>
      </c>
      <c r="C15" s="5" t="inlineStr">
        <is>
          <t>Gọi trong Claude Code</t>
        </is>
      </c>
    </row>
    <row r="16">
      <c r="A16" s="4" t="inlineStr">
        <is>
          <t>Skill tạo và theo dõi video</t>
        </is>
      </c>
      <c r="B16" s="5" t="inlineStr">
        <is>
          <t>viral-studio-tao-video, viral-studio-theo-doi</t>
        </is>
      </c>
      <c r="C16" s="5" t="inlineStr">
        <is>
          <t>Gọi trong Claude Code</t>
        </is>
      </c>
    </row>
    <row r="17">
      <c r="A17" s="4" t="inlineStr">
        <is>
          <t>Skill dữ liệu TikTok Shop</t>
        </is>
      </c>
      <c r="B17" s="5" t="inlineStr">
        <is>
          <t>kalodata</t>
        </is>
      </c>
      <c r="C17" s="5" t="inlineStr">
        <is>
          <t>Tìm sản phẩm mới</t>
        </is>
      </c>
    </row>
    <row r="18">
      <c r="A18" s="4" t="inlineStr">
        <is>
          <t>Skill crawl Shopee</t>
        </is>
      </c>
      <c r="B18" s="5" t="inlineStr">
        <is>
          <t>postforge-shopee-crawler</t>
        </is>
      </c>
      <c r="C18" s="5" t="inlineStr">
        <is>
          <t>Tìm link affiliate + ảnh</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2026-10-16T08:17:14Z</dcterms:created>
  <dcterms:modified xmlns:dcterms="http://purl.org/dc/terms/" xmlns:xsi="http://www.w3.org/2001/XMLSchema-instance" xsi:type="dcterms:W3CDTF">2026-10-16T08:17:14Z</dcterms:modified>
</cp:coreProperties>
</file>